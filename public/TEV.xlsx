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jaica\OneDrive\Desktop\"/>
    </mc:Choice>
  </mc:AlternateContent>
  <xr:revisionPtr revIDLastSave="0" documentId="13_ncr:1_{463B1015-8B84-4A76-936D-7CF0F54339E2}" xr6:coauthVersionLast="47" xr6:coauthVersionMax="47" xr10:uidLastSave="{00000000-0000-0000-0000-000000000000}"/>
  <bookViews>
    <workbookView xWindow="-98" yWindow="-98" windowWidth="21075" windowHeight="13695" activeTab="1" xr2:uid="{00000000-000D-0000-FFFF-FFFF00000000}"/>
  </bookViews>
  <sheets>
    <sheet name="Input" sheetId="13" r:id="rId1"/>
    <sheet name="ORS" sheetId="10" r:id="rId2"/>
    <sheet name="DV " sheetId="9" r:id="rId3"/>
    <sheet name="IT-09-P01" sheetId="11" r:id="rId4"/>
    <sheet name="CTC" sheetId="12" r:id="rId5"/>
    <sheet name="COENRR" sheetId="15" r:id="rId6"/>
    <sheet name="PTR Checklist" sheetId="14" r:id="rId7"/>
    <sheet name="Travel Order" sheetId="16" r:id="rId8"/>
  </sheets>
  <definedNames>
    <definedName name="_xlnm.Print_Area" localSheetId="5">COENRR!$B$2:$K$53</definedName>
    <definedName name="_xlnm.Print_Area" localSheetId="4">CTC!$B$2:$J$49</definedName>
    <definedName name="_xlnm.Print_Area" localSheetId="2">'DV '!$B$2:$AH$56</definedName>
    <definedName name="_xlnm.Print_Area" localSheetId="3">'IT-09-P01'!$B$2:$K$48</definedName>
    <definedName name="_xlnm.Print_Area" localSheetId="1">ORS!$B$2:$N$72</definedName>
    <definedName name="_xlnm.Print_Area" localSheetId="6">'PTR Checklist'!$B$2:$F$26</definedName>
    <definedName name="_xlnm.Print_Area" localSheetId="7">'Travel Order'!$B$2:$AJ$55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8" i="11" l="1"/>
  <c r="E28" i="11"/>
  <c r="H13" i="11"/>
  <c r="H36" i="11"/>
  <c r="I36" i="11"/>
  <c r="E22" i="11"/>
  <c r="E21" i="11"/>
  <c r="E25" i="11"/>
  <c r="K26" i="11"/>
  <c r="K27" i="11"/>
  <c r="K23" i="11"/>
  <c r="K24" i="11"/>
  <c r="K25" i="11"/>
  <c r="X19" i="16"/>
  <c r="J24" i="16"/>
  <c r="J22" i="16"/>
  <c r="U35" i="16"/>
  <c r="N33" i="16"/>
  <c r="K31" i="16"/>
  <c r="K29" i="16"/>
  <c r="N26" i="16"/>
  <c r="X22" i="16"/>
  <c r="V42" i="16"/>
  <c r="D42" i="16"/>
  <c r="G20" i="16"/>
  <c r="G19" i="16"/>
  <c r="D15" i="15"/>
  <c r="F11" i="12"/>
  <c r="I13" i="15"/>
  <c r="I46" i="15"/>
  <c r="D14" i="15"/>
  <c r="D13" i="15"/>
  <c r="D51" i="15"/>
  <c r="G51" i="15"/>
  <c r="B15" i="12"/>
  <c r="E22" i="10"/>
  <c r="B19" i="9"/>
  <c r="B17" i="10"/>
  <c r="B30" i="12"/>
  <c r="X45" i="9"/>
  <c r="F45" i="9"/>
  <c r="L36" i="10"/>
  <c r="B11" i="12"/>
  <c r="F46" i="11"/>
  <c r="B28" i="9"/>
  <c r="D36" i="10"/>
  <c r="B48" i="12"/>
  <c r="B46" i="11"/>
  <c r="E17" i="10"/>
  <c r="E15" i="10"/>
  <c r="C15" i="11"/>
  <c r="AC4" i="9"/>
  <c r="L12" i="10"/>
  <c r="J7" i="12"/>
  <c r="C11" i="11"/>
  <c r="D7" i="12"/>
  <c r="C10" i="11"/>
  <c r="T15" i="9"/>
  <c r="F42" i="11"/>
  <c r="C14" i="11"/>
  <c r="F16" i="9"/>
  <c r="F14" i="9"/>
  <c r="E13" i="10"/>
  <c r="B36" i="12"/>
  <c r="F41" i="11"/>
  <c r="C13" i="11"/>
  <c r="K22" i="11" l="1"/>
  <c r="K21" i="11"/>
  <c r="K20" i="11"/>
  <c r="K19" i="11"/>
  <c r="K18" i="11"/>
  <c r="J36" i="11"/>
  <c r="K36" i="11" s="1"/>
  <c r="C18" i="13" l="1"/>
  <c r="M22" i="10" s="1"/>
  <c r="M28" i="10" s="1"/>
  <c r="AC19" i="9" l="1"/>
  <c r="AC24" i="9" s="1"/>
</calcChain>
</file>

<file path=xl/sharedStrings.xml><?xml version="1.0" encoding="utf-8"?>
<sst xmlns="http://schemas.openxmlformats.org/spreadsheetml/2006/main" count="330" uniqueCount="259">
  <si>
    <t>Republic of the Philippines</t>
  </si>
  <si>
    <t>DEPARTMENT OF AGRICULTURE</t>
  </si>
  <si>
    <t>Capitol Site, Butuan City</t>
  </si>
  <si>
    <t xml:space="preserve"> </t>
  </si>
  <si>
    <t>Signature :</t>
  </si>
  <si>
    <t>Total</t>
  </si>
  <si>
    <t>Caraga Region</t>
  </si>
  <si>
    <t>Address</t>
  </si>
  <si>
    <t>Date</t>
  </si>
  <si>
    <t>Total Amount</t>
  </si>
  <si>
    <t>Appendix 32</t>
  </si>
  <si>
    <t xml:space="preserve">Fund Cluster : </t>
  </si>
  <si>
    <t>Date :</t>
  </si>
  <si>
    <t xml:space="preserve">                      Capitol Site, Butuan City</t>
  </si>
  <si>
    <t>DV No. :</t>
  </si>
  <si>
    <t>DISBURSEMENT VOUCHER</t>
  </si>
  <si>
    <t>Mode of Payment</t>
  </si>
  <si>
    <t>MDS Check</t>
  </si>
  <si>
    <t>Commercial Check</t>
  </si>
  <si>
    <t>ADA</t>
  </si>
  <si>
    <t>Others (Please specify) ____________________</t>
  </si>
  <si>
    <t>Payee</t>
  </si>
  <si>
    <t>TIN/Employee No.:</t>
  </si>
  <si>
    <t xml:space="preserve">ORS/BURS No.: </t>
  </si>
  <si>
    <t>Particulars</t>
  </si>
  <si>
    <t>Responsibility Center</t>
  </si>
  <si>
    <t>MFO/PAP</t>
  </si>
  <si>
    <t>Amount</t>
  </si>
  <si>
    <t xml:space="preserve">  </t>
  </si>
  <si>
    <t>Amount Due</t>
  </si>
  <si>
    <t>A.</t>
  </si>
  <si>
    <t>B.</t>
  </si>
  <si>
    <t xml:space="preserve"> Accounting Entry:</t>
  </si>
  <si>
    <t>Account Title</t>
  </si>
  <si>
    <t>UACS Code</t>
  </si>
  <si>
    <t>Debit</t>
  </si>
  <si>
    <t>Credit</t>
  </si>
  <si>
    <t>C.</t>
  </si>
  <si>
    <t>Certified:</t>
  </si>
  <si>
    <t>D.</t>
  </si>
  <si>
    <t>Approved for Payment</t>
  </si>
  <si>
    <t xml:space="preserve"> Cash available</t>
  </si>
  <si>
    <t xml:space="preserve"> Subject to Authority to Debit Account (when applicable)</t>
  </si>
  <si>
    <t xml:space="preserve"> Supporting documents complete and amount claimed </t>
  </si>
  <si>
    <t>(₱                                  )</t>
  </si>
  <si>
    <t>proper</t>
  </si>
  <si>
    <t>(Amount in words and in figure)</t>
  </si>
  <si>
    <t>Signature</t>
  </si>
  <si>
    <t>Printed Name</t>
  </si>
  <si>
    <t>Position</t>
  </si>
  <si>
    <t>Accounting Section</t>
  </si>
  <si>
    <t>Agency Head/Authorized Representative</t>
  </si>
  <si>
    <t xml:space="preserve">E. </t>
  </si>
  <si>
    <t xml:space="preserve">Receipt of Payment </t>
  </si>
  <si>
    <t>JEV  No.</t>
  </si>
  <si>
    <t>Check/   ADA No. :</t>
  </si>
  <si>
    <t>Bank Name &amp; Account Number:</t>
  </si>
  <si>
    <t>Printed Name:</t>
  </si>
  <si>
    <t>Serial No. : _____________________</t>
  </si>
  <si>
    <t>OBLIGATION REQUEST AND STATUS</t>
  </si>
  <si>
    <t>Date : _________________________</t>
  </si>
  <si>
    <t>Office</t>
  </si>
  <si>
    <t>Object</t>
  </si>
  <si>
    <t>Code</t>
  </si>
  <si>
    <t>A</t>
  </si>
  <si>
    <r>
      <t xml:space="preserve">Certified: </t>
    </r>
    <r>
      <rPr>
        <sz val="11"/>
        <rFont val="Cambria"/>
        <family val="1"/>
      </rPr>
      <t>Charges to appropriation/alloment are</t>
    </r>
  </si>
  <si>
    <t>B</t>
  </si>
  <si>
    <r>
      <t>Certified:</t>
    </r>
    <r>
      <rPr>
        <sz val="11"/>
        <rFont val="Cambria"/>
        <family val="1"/>
      </rPr>
      <t xml:space="preserve">  Allotment available and obligated</t>
    </r>
  </si>
  <si>
    <t>necessary, lawful and under my direct supervision;</t>
  </si>
  <si>
    <t xml:space="preserve"> for the purpose/adjustment necessary as</t>
  </si>
  <si>
    <t>and supporting documents valid, proper and legal</t>
  </si>
  <si>
    <t xml:space="preserve"> indicated above</t>
  </si>
  <si>
    <t>STATUS OF OBLIGATION</t>
  </si>
  <si>
    <t>Reference</t>
  </si>
  <si>
    <t>ORS/JEV/Check/        ADA/TRA No.</t>
  </si>
  <si>
    <t>Obligation</t>
  </si>
  <si>
    <t>Payable</t>
  </si>
  <si>
    <t>Payment</t>
  </si>
  <si>
    <t>Balance</t>
  </si>
  <si>
    <t>Not Yet Due</t>
  </si>
  <si>
    <t>Due and Demandable</t>
  </si>
  <si>
    <t>(a)</t>
  </si>
  <si>
    <t>(b)</t>
  </si>
  <si>
    <t>(c)</t>
  </si>
  <si>
    <t>(a-b)</t>
  </si>
  <si>
    <t>(b-c)</t>
  </si>
  <si>
    <t>Tel. No: (085) 342-4092 Telefax No: (085) 341-2114</t>
  </si>
  <si>
    <t xml:space="preserve">   Appendix 45</t>
  </si>
  <si>
    <t>ITINERARY OF TRAVEL</t>
  </si>
  <si>
    <t xml:space="preserve">Name :  </t>
  </si>
  <si>
    <t xml:space="preserve">Position :  </t>
  </si>
  <si>
    <t xml:space="preserve">Purpose of Travel : </t>
  </si>
  <si>
    <t xml:space="preserve">Official Station : </t>
  </si>
  <si>
    <t>Places to be visited</t>
  </si>
  <si>
    <t>T I M E</t>
  </si>
  <si>
    <t>Means of</t>
  </si>
  <si>
    <t>Per</t>
  </si>
  <si>
    <t>Others</t>
  </si>
  <si>
    <t>(Destination)</t>
  </si>
  <si>
    <t>Departure</t>
  </si>
  <si>
    <t>Arrival</t>
  </si>
  <si>
    <t>Diem</t>
  </si>
  <si>
    <t>PUB</t>
  </si>
  <si>
    <t>TOTAL</t>
  </si>
  <si>
    <t xml:space="preserve">Date of Travel :  </t>
  </si>
  <si>
    <t>Transportation</t>
  </si>
  <si>
    <t>RTD for Operations</t>
  </si>
  <si>
    <t>Please see attached Travel Orders</t>
  </si>
  <si>
    <t>MCH</t>
  </si>
  <si>
    <t>Appendix 47</t>
  </si>
  <si>
    <t>CERTIFICATION OF TRAVEL COMPLETED</t>
  </si>
  <si>
    <t>Station</t>
  </si>
  <si>
    <t xml:space="preserve">Respectfully submitted: </t>
  </si>
  <si>
    <t>Information Systems Analyst II</t>
  </si>
  <si>
    <t>September 8-10, 2026</t>
  </si>
  <si>
    <t>September 8, 2026</t>
  </si>
  <si>
    <t>September 9, 2026</t>
  </si>
  <si>
    <t>September 10, 2026</t>
  </si>
  <si>
    <t>Talacogon Bus Terminal to Butuan City Bus Terminal</t>
  </si>
  <si>
    <t>Butuan City Bus Terminal to OS</t>
  </si>
  <si>
    <t>Cabataña Farm, Brgy. Buena Gracia, Talacogon, Agusan del Sur to Talacogon Bus Terminal</t>
  </si>
  <si>
    <t>Capitol Site, Butuan City, Agusan del Norte</t>
  </si>
  <si>
    <r>
      <t xml:space="preserve">Chief, </t>
    </r>
    <r>
      <rPr>
        <sz val="11"/>
        <rFont val="Cambria"/>
        <family val="1"/>
      </rPr>
      <t>Field Operations Division</t>
    </r>
  </si>
  <si>
    <r>
      <t xml:space="preserve">Chief, </t>
    </r>
    <r>
      <rPr>
        <sz val="11"/>
        <rFont val="Cambria"/>
        <family val="1"/>
      </rPr>
      <t>Budget Section</t>
    </r>
  </si>
  <si>
    <t>Director-In-Charge</t>
  </si>
  <si>
    <t>UACS</t>
  </si>
  <si>
    <t xml:space="preserve">Printed Name  :                </t>
  </si>
  <si>
    <t xml:space="preserve">Signature           : </t>
  </si>
  <si>
    <t>Position              :</t>
  </si>
  <si>
    <t>Date                      :</t>
  </si>
  <si>
    <t>C</t>
  </si>
  <si>
    <t>James E. Rosales</t>
  </si>
  <si>
    <t xml:space="preserve"> Certified:  Expenses/Cash Advance necessary, lawful and incurred under my direct supervision.</t>
  </si>
  <si>
    <t>Official Receipt No. &amp; Date/Other Documents:</t>
  </si>
  <si>
    <t>Explanation or Justification:</t>
  </si>
  <si>
    <t>Evidence of Travel:</t>
  </si>
  <si>
    <t>COA Circular 2015-002:  Annex F</t>
  </si>
  <si>
    <r>
      <rPr>
        <i/>
        <sz val="12"/>
        <rFont val="Cambria"/>
        <family val="1"/>
      </rPr>
      <t>Chief</t>
    </r>
    <r>
      <rPr>
        <sz val="12"/>
        <rFont val="Cambria"/>
        <family val="1"/>
      </rPr>
      <t>, Field Operations Division</t>
    </r>
  </si>
  <si>
    <r>
      <rPr>
        <i/>
        <sz val="12"/>
        <rFont val="Cambria"/>
        <family val="1"/>
      </rPr>
      <t>Chief</t>
    </r>
    <r>
      <rPr>
        <sz val="12"/>
        <rFont val="Cambria"/>
        <family val="1"/>
      </rPr>
      <t>, Admin and Finance Division</t>
    </r>
  </si>
  <si>
    <t>633-884-331-0000</t>
  </si>
  <si>
    <r>
      <t xml:space="preserve">Chief, </t>
    </r>
    <r>
      <rPr>
        <sz val="14"/>
        <color theme="1"/>
        <rFont val="Times New Roman"/>
        <family val="1"/>
      </rPr>
      <t>Field Operations Division</t>
    </r>
  </si>
  <si>
    <t xml:space="preserve">Entity Name      : </t>
  </si>
  <si>
    <t>No.:</t>
  </si>
  <si>
    <t>Fund Cluster:</t>
  </si>
  <si>
    <t xml:space="preserve">      Strictly in accordance with the approved itinerary.</t>
  </si>
  <si>
    <t xml:space="preserve">      Cut short as explained below.  Excess payment in the amount of</t>
  </si>
  <si>
    <t xml:space="preserve">      Other deviation as explained below.</t>
  </si>
  <si>
    <t xml:space="preserve"> ₱   _______ was refunded under O. R. No. ______________ dated ________________.</t>
  </si>
  <si>
    <t xml:space="preserve">      Extended as explained below, additional itinerary was submitted.</t>
  </si>
  <si>
    <t>On evidence and information of which I have the knowledge, the travel was actually undertaken.</t>
  </si>
  <si>
    <t>Entity Name:</t>
  </si>
  <si>
    <t>Noted:</t>
  </si>
  <si>
    <r>
      <rPr>
        <i/>
        <sz val="12"/>
        <color theme="1"/>
        <rFont val="Times New Roman"/>
        <family val="1"/>
      </rPr>
      <t>Chief</t>
    </r>
    <r>
      <rPr>
        <sz val="12"/>
        <color theme="1"/>
        <rFont val="Times New Roman"/>
        <family val="1"/>
      </rPr>
      <t>, Field Operations Division</t>
    </r>
  </si>
  <si>
    <t xml:space="preserve">Name of Employee    </t>
  </si>
  <si>
    <t xml:space="preserve">I certify that: 
(1) I have reviewed the foregoing  itinerary;
(2)  the  travel  is necessary to  the service;
(3) the period covered   is   reasonable;   and   
(4)  the expenses claimed are proper.           </t>
  </si>
  <si>
    <t>Name:</t>
  </si>
  <si>
    <t>Position:</t>
  </si>
  <si>
    <t>Fund Cluster     :</t>
  </si>
  <si>
    <t>Dates of Travel:</t>
  </si>
  <si>
    <t>Address:</t>
  </si>
  <si>
    <t>TIN:</t>
  </si>
  <si>
    <t>Travel Nos.:</t>
  </si>
  <si>
    <t>FOD Chief:</t>
  </si>
  <si>
    <t>RTD for Operations:</t>
  </si>
  <si>
    <t>Itinerary Total Amount:</t>
  </si>
  <si>
    <t>Director-In-Charge:</t>
  </si>
  <si>
    <t>Chief of Budget Section:</t>
  </si>
  <si>
    <t>Accounting Section:</t>
  </si>
  <si>
    <t>Chief of Admin and Finance Division:</t>
  </si>
  <si>
    <t>Purok-8 Slaughter, Obrero, Butuan City, Agusan del Norte</t>
  </si>
  <si>
    <t>Department of Agriculture Regional Field Office XIII</t>
  </si>
  <si>
    <t>Official Station:</t>
  </si>
  <si>
    <t>Melody M. Guimary</t>
  </si>
  <si>
    <t>Rebecca R. Atega</t>
  </si>
  <si>
    <t>Engr. Ricardo M. Oñate Jr.</t>
  </si>
  <si>
    <t>Fatima D. Campos</t>
  </si>
  <si>
    <t>Jane V. Mamba</t>
  </si>
  <si>
    <t>Primitiva O. Arquion</t>
  </si>
  <si>
    <t>Official Station Address:</t>
  </si>
  <si>
    <t>Month</t>
  </si>
  <si>
    <t>September 2026</t>
  </si>
  <si>
    <t>Charge To:</t>
  </si>
  <si>
    <t>Head, Accounting Unit/Authorized Representative</t>
  </si>
  <si>
    <t>Approved Itinerary of Travel, Approved Travel Order, Bus Tickets, Certificate of Appearance</t>
  </si>
  <si>
    <t>Travel Date</t>
  </si>
  <si>
    <t>Darfted</t>
  </si>
  <si>
    <t>Submitted</t>
  </si>
  <si>
    <t>Approved</t>
  </si>
  <si>
    <t>Yes</t>
  </si>
  <si>
    <t>-</t>
  </si>
  <si>
    <t>No.</t>
  </si>
  <si>
    <t>CERTIFICATION OF EXPENSES NOT REQUIRING RECEIPTS</t>
  </si>
  <si>
    <t>Employee No.</t>
  </si>
  <si>
    <t xml:space="preserve">I hereby certify that the above expenses are incurred as they are necessary for the above cited purpose, that above goods and services were acquired from parties not issuing receipts. And that I am fully aware that willful falsification of statements is punishable by law. </t>
  </si>
  <si>
    <t>Employee</t>
  </si>
  <si>
    <t>Immediate Supervisor</t>
  </si>
  <si>
    <r>
      <t xml:space="preserve">Pursuant to COA Circular No. </t>
    </r>
    <r>
      <rPr>
        <i/>
        <u/>
        <sz val="12"/>
        <color theme="1"/>
        <rFont val="Cambria"/>
        <family val="1"/>
        <scheme val="major"/>
      </rPr>
      <t>2017-001</t>
    </r>
    <r>
      <rPr>
        <i/>
        <sz val="12"/>
        <color theme="1"/>
        <rFont val="Cambria"/>
        <family val="1"/>
        <scheme val="major"/>
      </rPr>
      <t xml:space="preserve"> dated </t>
    </r>
    <r>
      <rPr>
        <i/>
        <u/>
        <sz val="12"/>
        <color theme="1"/>
        <rFont val="Cambria"/>
        <family val="1"/>
        <scheme val="major"/>
      </rPr>
      <t>June 19, 2017</t>
    </r>
  </si>
  <si>
    <t>Certified Correct:</t>
  </si>
  <si>
    <t>Name of Employee:</t>
  </si>
  <si>
    <t>Office:</t>
  </si>
  <si>
    <t>Division:</t>
  </si>
  <si>
    <t>Field Operations Division</t>
  </si>
  <si>
    <t>MEANS OF
TRANSPORTATION</t>
  </si>
  <si>
    <t>AMOUNT</t>
  </si>
  <si>
    <t>PARTICULARS</t>
  </si>
  <si>
    <t>DATE</t>
  </si>
  <si>
    <r>
      <t xml:space="preserve">Purpose: </t>
    </r>
    <r>
      <rPr>
        <i/>
        <sz val="12"/>
        <color theme="1"/>
        <rFont val="Cambria"/>
        <family val="1"/>
        <scheme val="major"/>
      </rPr>
      <t>Please see attached Travel Orders</t>
    </r>
    <r>
      <rPr>
        <sz val="12"/>
        <color theme="1"/>
        <rFont val="Cambria"/>
        <family val="1"/>
        <scheme val="major"/>
      </rPr>
      <t>.</t>
    </r>
  </si>
  <si>
    <t xml:space="preserve">  Prepared:</t>
  </si>
  <si>
    <t xml:space="preserve">  Approved:</t>
  </si>
  <si>
    <t xml:space="preserve"> Tel. No: (085) 342-4092 Telefax No.: (085) 341-2114</t>
  </si>
  <si>
    <t>TRAVEL ORDER</t>
  </si>
  <si>
    <t>Date:</t>
  </si>
  <si>
    <t>Salary Per Month:</t>
  </si>
  <si>
    <t>Office Station:</t>
  </si>
  <si>
    <t>DA-RFO XIII</t>
  </si>
  <si>
    <t>Departure Date :</t>
  </si>
  <si>
    <t>Return  Date:</t>
  </si>
  <si>
    <t>Place of Travel:</t>
  </si>
  <si>
    <t>Specific Purpose of the Trip:</t>
  </si>
  <si>
    <t>Objectives:</t>
  </si>
  <si>
    <t>Per Diems Allowed:</t>
  </si>
  <si>
    <t>Assistant Laborers Allowed:</t>
  </si>
  <si>
    <t>Appropriation to which travel should be charged:</t>
  </si>
  <si>
    <t>Remarks or Special Instructions:</t>
  </si>
  <si>
    <t>Recommending Approval:</t>
  </si>
  <si>
    <t>Approved:</t>
  </si>
  <si>
    <t>Regional Executive Director</t>
  </si>
  <si>
    <t>Place of visited</t>
  </si>
  <si>
    <t>Certifying Officer</t>
  </si>
  <si>
    <t>TO Departure Date:</t>
  </si>
  <si>
    <t>TO Return Date:</t>
  </si>
  <si>
    <t>Place of Travel</t>
  </si>
  <si>
    <t>Purpose:</t>
  </si>
  <si>
    <t>Objective:</t>
  </si>
  <si>
    <t>Per Diem Allowed:</t>
  </si>
  <si>
    <t>Assistant Laborer Allowed:</t>
  </si>
  <si>
    <t>No</t>
  </si>
  <si>
    <t>Cabataña Farm, Brgy. Buena Gracia, Talacogon, Agusan del Sur</t>
  </si>
  <si>
    <t>Training on Climate-Resilient Rice Production</t>
  </si>
  <si>
    <t>Capacitate skills with Palayamanan Plus Approach</t>
  </si>
  <si>
    <t>Salary:</t>
  </si>
  <si>
    <t>OS to Shacene Pension House and Restaurant, Brgy. Mabua, Tandag City, Surigao del Sur</t>
  </si>
  <si>
    <t>September 15, 2026</t>
  </si>
  <si>
    <t>September 16, 2026</t>
  </si>
  <si>
    <t>September 17, 2026</t>
  </si>
  <si>
    <t>Still at Shacene Pension House and Restaurant, Brgy. Mabua, Tandag City, Surigao del Sur</t>
  </si>
  <si>
    <t>Shacene Pension House and Restaurant, Brgy. Mabua, Tandag City, Surigao del Sur to OS</t>
  </si>
  <si>
    <t>OS to Development of Agusanons, Inc., Patin-ay, Prosperidad, Agusan del Sur</t>
  </si>
  <si>
    <t>September 22, 2026</t>
  </si>
  <si>
    <t>Still at Development of Agusanons, Inc., Patin-ay, Prosperidad, Agusan del Sur</t>
  </si>
  <si>
    <t>Development of Agusanons, Inc., Patin-ay, Prosperidad, Agusan del Sur to OS</t>
  </si>
  <si>
    <t>September 23, 2026</t>
  </si>
  <si>
    <t>September 24, 2026</t>
  </si>
  <si>
    <t>OS to Cabataña Farm, Brgy. Buena Gracia, Talacogon, Agusan del Sur</t>
  </si>
  <si>
    <t>RP</t>
  </si>
  <si>
    <t>Still at Talacogon, Agusan del Sur</t>
  </si>
  <si>
    <t>Sept. 8-10, Sept. 15-17, and Sept. 22-24, 2026</t>
  </si>
  <si>
    <t>0926-0573, 0926-1268, and 0926-1522</t>
  </si>
  <si>
    <t>Agricultural Statistics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</si>
</sst>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409]mmmm\ d\,\ yyyy;@"/>
    <numFmt numFmtId="166" formatCode="_(* #,##0_);_(* \(#,##0\);_(* &quot;-&quot;??_);_(@_)"/>
    <numFmt numFmtId="167" formatCode="_(* #,##0.00_);_(* \(#,##0.00\);_(* &quot;-&quot;_);_(@_)"/>
    <numFmt numFmtId="168" formatCode="mm/dd/yy;@"/>
    <numFmt numFmtId="169" formatCode="[$-3409]mmmm\ dd\,\ yyyy;@"/>
    <numFmt numFmtId="170" formatCode="mmmm\ d\,\ yyyy"/>
  </numFmts>
  <fonts count="78" x14ac:knownFonts="1">
    <font>
      <sz val="11"/>
      <color theme="1"/>
      <name val="Calibri"/>
      <family val="2"/>
      <scheme val="minor"/>
    </font>
    <font>
      <sz val="11"/>
      <color theme="1"/>
      <name val="Calibri"/>
      <family val="2"/>
      <scheme val="minor"/>
    </font>
    <font>
      <sz val="10"/>
      <name val="Arial"/>
      <family val="2"/>
    </font>
    <font>
      <sz val="10"/>
      <color indexed="8"/>
      <name val="Arial"/>
      <family val="2"/>
    </font>
    <font>
      <sz val="11"/>
      <color theme="1"/>
      <name val="Arial"/>
      <family val="2"/>
    </font>
    <font>
      <sz val="12"/>
      <color theme="1"/>
      <name val="Cambria"/>
      <family val="1"/>
    </font>
    <font>
      <b/>
      <sz val="12"/>
      <color theme="1"/>
      <name val="Cambria"/>
      <family val="1"/>
    </font>
    <font>
      <b/>
      <sz val="14"/>
      <color theme="1"/>
      <name val="Cambria"/>
      <family val="1"/>
    </font>
    <font>
      <sz val="14"/>
      <color theme="1"/>
      <name val="Cambria"/>
      <family val="1"/>
    </font>
    <font>
      <b/>
      <sz val="14"/>
      <name val="Cambria"/>
      <family val="1"/>
    </font>
    <font>
      <b/>
      <sz val="18"/>
      <color theme="1"/>
      <name val="Cambria"/>
      <family val="1"/>
    </font>
    <font>
      <sz val="16"/>
      <color theme="1"/>
      <name val="Cambria"/>
      <family val="1"/>
    </font>
    <font>
      <sz val="18"/>
      <color theme="1"/>
      <name val="Cambria"/>
      <family val="1"/>
    </font>
    <font>
      <b/>
      <sz val="16"/>
      <color theme="1"/>
      <name val="Cambria"/>
      <family val="1"/>
    </font>
    <font>
      <sz val="12"/>
      <name val="Cambria"/>
      <family val="1"/>
    </font>
    <font>
      <b/>
      <sz val="12"/>
      <name val="Cambria"/>
      <family val="1"/>
    </font>
    <font>
      <b/>
      <u/>
      <sz val="12"/>
      <name val="Cambria"/>
      <family val="1"/>
    </font>
    <font>
      <i/>
      <sz val="12"/>
      <name val="Cambria"/>
      <family val="1"/>
    </font>
    <font>
      <sz val="12"/>
      <color indexed="8"/>
      <name val="Cambria"/>
      <family val="1"/>
    </font>
    <font>
      <sz val="11"/>
      <color indexed="8"/>
      <name val="Calibri"/>
      <family val="2"/>
    </font>
    <font>
      <sz val="11"/>
      <name val="Cambria"/>
      <family val="1"/>
    </font>
    <font>
      <b/>
      <sz val="11"/>
      <name val="Cambria"/>
      <family val="1"/>
    </font>
    <font>
      <b/>
      <sz val="11"/>
      <color indexed="8"/>
      <name val="Cambria"/>
      <family val="1"/>
    </font>
    <font>
      <u/>
      <sz val="11"/>
      <color theme="1"/>
      <name val="Cambria"/>
      <family val="1"/>
    </font>
    <font>
      <i/>
      <sz val="11"/>
      <name val="Cambria"/>
      <family val="1"/>
    </font>
    <font>
      <u/>
      <sz val="11"/>
      <name val="Cambria"/>
      <family val="1"/>
    </font>
    <font>
      <sz val="10"/>
      <name val="Cambria"/>
      <family val="1"/>
    </font>
    <font>
      <sz val="10"/>
      <color rgb="FF000000"/>
      <name val="Calibri"/>
      <family val="2"/>
      <scheme val="minor"/>
    </font>
    <font>
      <sz val="12"/>
      <color theme="1"/>
      <name val="Arial"/>
      <family val="2"/>
    </font>
    <font>
      <i/>
      <sz val="12"/>
      <color theme="1"/>
      <name val="Times New Roman"/>
      <family val="1"/>
    </font>
    <font>
      <sz val="10"/>
      <color theme="1"/>
      <name val="Arial"/>
      <family val="2"/>
    </font>
    <font>
      <b/>
      <sz val="12"/>
      <color theme="1"/>
      <name val="Times New Roman"/>
      <family val="1"/>
    </font>
    <font>
      <b/>
      <sz val="14"/>
      <color theme="1"/>
      <name val="Times New Roman"/>
      <family val="1"/>
    </font>
    <font>
      <b/>
      <sz val="11"/>
      <color theme="1"/>
      <name val="Times New Roman"/>
      <family val="1"/>
    </font>
    <font>
      <sz val="12"/>
      <color theme="1"/>
      <name val="Times New Roman"/>
      <family val="1"/>
    </font>
    <font>
      <sz val="11"/>
      <color theme="1"/>
      <name val="Times New Roman"/>
      <family val="1"/>
    </font>
    <font>
      <b/>
      <u/>
      <sz val="12"/>
      <color theme="1"/>
      <name val="Times New Roman"/>
      <family val="1"/>
    </font>
    <font>
      <sz val="9"/>
      <color theme="1"/>
      <name val="Arial"/>
      <family val="2"/>
    </font>
    <font>
      <sz val="8"/>
      <name val="Calibri"/>
      <family val="2"/>
      <scheme val="minor"/>
    </font>
    <font>
      <sz val="14"/>
      <color rgb="FF000000"/>
      <name val="Calibri"/>
      <family val="2"/>
      <scheme val="minor"/>
    </font>
    <font>
      <sz val="14"/>
      <name val="Arial"/>
      <family val="2"/>
    </font>
    <font>
      <b/>
      <sz val="16"/>
      <color theme="1"/>
      <name val="Times New Roman"/>
      <family val="1"/>
    </font>
    <font>
      <sz val="11"/>
      <color rgb="FF000000"/>
      <name val="Calibri"/>
      <family val="2"/>
      <scheme val="minor"/>
    </font>
    <font>
      <sz val="11"/>
      <name val="Arial"/>
      <family val="2"/>
    </font>
    <font>
      <sz val="16"/>
      <name val="Arial"/>
      <family val="2"/>
    </font>
    <font>
      <sz val="14"/>
      <color theme="1"/>
      <name val="Times New Roman"/>
      <family val="1"/>
    </font>
    <font>
      <b/>
      <u/>
      <sz val="14"/>
      <color theme="1"/>
      <name val="Times New Roman"/>
      <family val="1"/>
    </font>
    <font>
      <sz val="14"/>
      <color theme="1"/>
      <name val="Arial"/>
      <family val="2"/>
    </font>
    <font>
      <i/>
      <sz val="14"/>
      <color theme="1"/>
      <name val="Times New Roman"/>
      <family val="1"/>
    </font>
    <font>
      <sz val="18"/>
      <color rgb="FF000000"/>
      <name val="Calibri"/>
      <family val="2"/>
      <scheme val="minor"/>
    </font>
    <font>
      <b/>
      <sz val="22"/>
      <color theme="1"/>
      <name val="Times New Roman"/>
      <family val="1"/>
    </font>
    <font>
      <sz val="22"/>
      <color rgb="FF000000"/>
      <name val="Calibri"/>
      <family val="2"/>
      <scheme val="minor"/>
    </font>
    <font>
      <i/>
      <sz val="12"/>
      <color rgb="FF000000"/>
      <name val="Times New Roman"/>
      <family val="1"/>
    </font>
    <font>
      <b/>
      <sz val="12"/>
      <color rgb="FF000000"/>
      <name val="Times New Roman"/>
      <family val="1"/>
    </font>
    <font>
      <sz val="11"/>
      <color rgb="FF000000"/>
      <name val="Times New Roman"/>
      <family val="1"/>
    </font>
    <font>
      <i/>
      <sz val="14"/>
      <name val="Arial"/>
      <family val="2"/>
    </font>
    <font>
      <i/>
      <sz val="14"/>
      <color rgb="FF000000"/>
      <name val="Calibri"/>
      <family val="2"/>
      <scheme val="minor"/>
    </font>
    <font>
      <b/>
      <i/>
      <sz val="14"/>
      <color theme="1"/>
      <name val="Times New Roman"/>
      <family val="1"/>
    </font>
    <font>
      <b/>
      <sz val="10"/>
      <name val="Cambria"/>
      <family val="1"/>
    </font>
    <font>
      <sz val="12"/>
      <color theme="1"/>
      <name val="Calibri"/>
      <family val="2"/>
      <scheme val="minor"/>
    </font>
    <font>
      <sz val="12"/>
      <color rgb="FF000000"/>
      <name val="Times New Roman"/>
      <family val="1"/>
    </font>
    <font>
      <b/>
      <sz val="16"/>
      <color theme="1"/>
      <name val="Arial"/>
      <family val="2"/>
    </font>
    <font>
      <sz val="16"/>
      <color theme="1"/>
      <name val="Arial"/>
      <family val="2"/>
    </font>
    <font>
      <sz val="16"/>
      <color rgb="FF000000"/>
      <name val="Calibri"/>
      <family val="2"/>
      <scheme val="minor"/>
    </font>
    <font>
      <i/>
      <sz val="16"/>
      <color theme="1"/>
      <name val="Times New Roman"/>
      <family val="1"/>
    </font>
    <font>
      <sz val="12"/>
      <color theme="1"/>
      <name val="Cambria"/>
      <family val="1"/>
      <scheme val="major"/>
    </font>
    <font>
      <b/>
      <sz val="12"/>
      <color theme="1"/>
      <name val="Cambria"/>
      <family val="1"/>
      <scheme val="major"/>
    </font>
    <font>
      <sz val="12"/>
      <color theme="0" tint="-0.499984740745262"/>
      <name val="Cambria"/>
      <family val="1"/>
      <scheme val="major"/>
    </font>
    <font>
      <sz val="11"/>
      <color theme="1"/>
      <name val="Calibri"/>
      <family val="2"/>
      <scheme val="minor"/>
    </font>
    <font>
      <i/>
      <sz val="12"/>
      <color theme="1"/>
      <name val="Cambria"/>
      <family val="1"/>
      <scheme val="major"/>
    </font>
    <font>
      <i/>
      <u/>
      <sz val="12"/>
      <color theme="1"/>
      <name val="Cambria"/>
      <family val="1"/>
      <scheme val="major"/>
    </font>
    <font>
      <sz val="12"/>
      <name val="Cambria"/>
      <family val="1"/>
      <scheme val="major"/>
    </font>
    <font>
      <b/>
      <sz val="20"/>
      <name val="Cambria"/>
      <family val="1"/>
      <scheme val="major"/>
    </font>
    <font>
      <b/>
      <u/>
      <sz val="12"/>
      <name val="Cambria"/>
      <family val="1"/>
      <scheme val="major"/>
    </font>
    <font>
      <b/>
      <u/>
      <sz val="12"/>
      <name val="Arial"/>
      <family val="2"/>
    </font>
    <font>
      <b/>
      <sz val="12"/>
      <name val="Cambria"/>
      <family val="1"/>
      <scheme val="major"/>
    </font>
    <font>
      <sz val="11"/>
      <name val="Cambria"/>
      <family val="1"/>
      <scheme val="major"/>
    </font>
    <font>
      <i/>
      <sz val="12"/>
      <name val="Cambria"/>
      <family val="1"/>
      <scheme val="maj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00"/>
        <bgColor indexed="64"/>
      </patternFill>
    </fill>
  </fills>
  <borders count="42">
    <border>
      <left/>
      <right/>
      <top/>
      <bottom/>
      <diagonal/>
    </border>
    <border>
      <left/>
      <right style="medium">
        <color indexed="64"/>
      </right>
      <top/>
      <bottom style="medium">
        <color indexed="64"/>
      </bottom>
      <diagonal/>
    </border>
    <border>
      <left style="medium">
        <color auto="1"/>
      </left>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auto="1"/>
      </right>
      <top/>
      <bottom/>
      <diagonal/>
    </border>
    <border>
      <left style="medium">
        <color auto="1"/>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indexed="64"/>
      </bottom>
      <diagonal/>
    </border>
    <border>
      <left style="medium">
        <color indexed="64"/>
      </left>
      <right style="medium">
        <color indexed="64"/>
      </right>
      <top/>
      <bottom/>
      <diagonal/>
    </border>
    <border>
      <left/>
      <right style="medium">
        <color indexed="64"/>
      </right>
      <top/>
      <bottom style="medium">
        <color rgb="FF000000"/>
      </bottom>
      <diagonal/>
    </border>
    <border>
      <left/>
      <right style="medium">
        <color indexed="64"/>
      </right>
      <top style="medium">
        <color rgb="FF000000"/>
      </top>
      <bottom/>
      <diagonal/>
    </border>
    <border>
      <left/>
      <right style="medium">
        <color rgb="FF000000"/>
      </right>
      <top/>
      <bottom style="medium">
        <color indexed="64"/>
      </bottom>
      <diagonal/>
    </border>
    <border>
      <left style="medium">
        <color rgb="FF000000"/>
      </left>
      <right/>
      <top/>
      <bottom style="medium">
        <color indexed="64"/>
      </bottom>
      <diagonal/>
    </border>
    <border>
      <left/>
      <right style="medium">
        <color rgb="FF000000"/>
      </right>
      <top style="medium">
        <color indexed="64"/>
      </top>
      <bottom/>
      <diagonal/>
    </border>
    <border>
      <left style="medium">
        <color rgb="FF000000"/>
      </left>
      <right/>
      <top style="medium">
        <color indexed="64"/>
      </top>
      <bottom/>
      <diagonal/>
    </border>
    <border>
      <left/>
      <right style="medium">
        <color rgb="FF000000"/>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indexed="64"/>
      </top>
      <bottom style="medium">
        <color indexed="64"/>
      </bottom>
      <diagonal/>
    </border>
  </borders>
  <cellStyleXfs count="22">
    <xf numFmtId="0" fontId="0" fillId="0" borderId="0"/>
    <xf numFmtId="0" fontId="1" fillId="0" borderId="0"/>
    <xf numFmtId="0" fontId="2" fillId="0" borderId="0"/>
    <xf numFmtId="43" fontId="1" fillId="0" borderId="0" applyFont="0" applyFill="0" applyBorder="0" applyAlignment="0" applyProtection="0"/>
    <xf numFmtId="43" fontId="3" fillId="0" borderId="0" applyFont="0" applyFill="0" applyBorder="0" applyAlignment="0" applyProtection="0">
      <alignment vertical="top"/>
    </xf>
    <xf numFmtId="0" fontId="3" fillId="0" borderId="0">
      <alignment vertical="top"/>
    </xf>
    <xf numFmtId="0" fontId="4" fillId="0" borderId="0"/>
    <xf numFmtId="0" fontId="3" fillId="0" borderId="0">
      <alignment vertical="top"/>
    </xf>
    <xf numFmtId="0" fontId="3" fillId="0" borderId="0">
      <alignment vertical="top"/>
    </xf>
    <xf numFmtId="0" fontId="3" fillId="0" borderId="0">
      <alignment vertical="top"/>
    </xf>
    <xf numFmtId="0" fontId="1" fillId="0" borderId="0"/>
    <xf numFmtId="165" fontId="1" fillId="0" borderId="0"/>
    <xf numFmtId="0" fontId="2" fillId="0" borderId="0"/>
    <xf numFmtId="164"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19" fillId="0" borderId="0">
      <alignment vertical="center"/>
    </xf>
    <xf numFmtId="43" fontId="19" fillId="0" borderId="0" applyFont="0" applyFill="0" applyBorder="0" applyAlignment="0" applyProtection="0"/>
    <xf numFmtId="0" fontId="27" fillId="0" borderId="0"/>
    <xf numFmtId="0" fontId="68" fillId="0" borderId="0"/>
    <xf numFmtId="164" fontId="68" fillId="0" borderId="0" applyFont="0" applyFill="0" applyBorder="0" applyAlignment="0" applyProtection="0"/>
  </cellStyleXfs>
  <cellXfs count="708">
    <xf numFmtId="0" fontId="0" fillId="0" borderId="0" xfId="0"/>
    <xf numFmtId="0" fontId="14" fillId="0" borderId="0" xfId="16" applyFont="1"/>
    <xf numFmtId="0" fontId="15" fillId="0" borderId="0" xfId="16" applyFont="1" applyAlignment="1">
      <alignment wrapText="1"/>
    </xf>
    <xf numFmtId="0" fontId="14" fillId="0" borderId="10" xfId="16" applyFont="1" applyBorder="1" applyAlignment="1">
      <alignment horizontal="center" wrapText="1"/>
    </xf>
    <xf numFmtId="0" fontId="15" fillId="0" borderId="0" xfId="16" applyFont="1" applyAlignment="1">
      <alignment vertical="center" wrapText="1"/>
    </xf>
    <xf numFmtId="0" fontId="14" fillId="0" borderId="0" xfId="16" applyFont="1" applyAlignment="1">
      <alignment wrapText="1"/>
    </xf>
    <xf numFmtId="0" fontId="14" fillId="0" borderId="0" xfId="16" applyFont="1" applyAlignment="1">
      <alignment horizontal="left" indent="1"/>
    </xf>
    <xf numFmtId="0" fontId="14" fillId="0" borderId="7" xfId="16" applyFont="1" applyBorder="1"/>
    <xf numFmtId="49" fontId="14" fillId="0" borderId="0" xfId="16" applyNumberFormat="1" applyFont="1"/>
    <xf numFmtId="0" fontId="14" fillId="0" borderId="0" xfId="16" applyFont="1" applyAlignment="1">
      <alignment horizontal="center" wrapText="1"/>
    </xf>
    <xf numFmtId="0" fontId="14" fillId="0" borderId="0" xfId="16" applyFont="1" applyAlignment="1">
      <alignment horizontal="center"/>
    </xf>
    <xf numFmtId="43" fontId="15" fillId="0" borderId="0" xfId="16" applyNumberFormat="1" applyFont="1" applyAlignment="1">
      <alignment horizontal="center" wrapText="1"/>
    </xf>
    <xf numFmtId="0" fontId="15" fillId="0" borderId="0" xfId="16" applyFont="1" applyAlignment="1">
      <alignment horizontal="center" wrapText="1"/>
    </xf>
    <xf numFmtId="0" fontId="14" fillId="0" borderId="0" xfId="16" applyFont="1" applyAlignment="1">
      <alignment vertical="center" wrapText="1"/>
    </xf>
    <xf numFmtId="0" fontId="15" fillId="0" borderId="0" xfId="16" applyFont="1" applyAlignment="1">
      <alignment vertical="center"/>
    </xf>
    <xf numFmtId="0" fontId="14" fillId="0" borderId="0" xfId="16" applyFont="1" applyAlignment="1">
      <alignment vertical="center"/>
    </xf>
    <xf numFmtId="0" fontId="14" fillId="0" borderId="0" xfId="16" applyFont="1" applyAlignment="1">
      <alignment vertical="justify" wrapText="1"/>
    </xf>
    <xf numFmtId="0" fontId="14" fillId="0" borderId="0" xfId="16" applyFont="1" applyAlignment="1">
      <alignment horizontal="left"/>
    </xf>
    <xf numFmtId="0" fontId="15" fillId="0" borderId="0" xfId="16" applyFont="1" applyAlignment="1">
      <alignment vertical="justify" wrapText="1"/>
    </xf>
    <xf numFmtId="0" fontId="14" fillId="0" borderId="0" xfId="16" applyFont="1" applyAlignment="1">
      <alignment horizontal="left" indent="2"/>
    </xf>
    <xf numFmtId="0" fontId="14" fillId="0" borderId="0" xfId="16" applyFont="1" applyAlignment="1">
      <alignment vertical="top"/>
    </xf>
    <xf numFmtId="49" fontId="15" fillId="0" borderId="0" xfId="16" applyNumberFormat="1" applyFont="1" applyAlignment="1">
      <alignment vertical="center" wrapText="1"/>
    </xf>
    <xf numFmtId="49" fontId="14" fillId="0" borderId="0" xfId="16" applyNumberFormat="1" applyFont="1" applyAlignment="1">
      <alignment vertical="center" wrapText="1"/>
    </xf>
    <xf numFmtId="43" fontId="14" fillId="0" borderId="0" xfId="16" applyNumberFormat="1" applyFont="1" applyAlignment="1">
      <alignment wrapText="1"/>
    </xf>
    <xf numFmtId="0" fontId="15" fillId="0" borderId="0" xfId="16" applyFont="1"/>
    <xf numFmtId="43" fontId="15" fillId="0" borderId="0" xfId="15" applyFont="1" applyBorder="1" applyAlignment="1">
      <alignment wrapText="1"/>
    </xf>
    <xf numFmtId="0" fontId="18" fillId="0" borderId="0" xfId="17" applyFont="1" applyAlignment="1">
      <alignment horizontal="center" vertical="center"/>
    </xf>
    <xf numFmtId="0" fontId="20" fillId="0" borderId="0" xfId="0" applyFont="1"/>
    <xf numFmtId="0" fontId="20" fillId="0" borderId="0" xfId="0" applyFont="1" applyAlignment="1">
      <alignment vertical="center"/>
    </xf>
    <xf numFmtId="0" fontId="27" fillId="0" borderId="0" xfId="19"/>
    <xf numFmtId="0" fontId="5" fillId="0" borderId="0" xfId="19" applyFont="1"/>
    <xf numFmtId="0" fontId="28" fillId="0" borderId="0" xfId="19" applyFont="1" applyAlignment="1">
      <alignment wrapText="1"/>
    </xf>
    <xf numFmtId="0" fontId="28" fillId="0" borderId="0" xfId="19" applyFont="1" applyAlignment="1">
      <alignment vertical="center"/>
    </xf>
    <xf numFmtId="0" fontId="28" fillId="0" borderId="0" xfId="19" applyFont="1"/>
    <xf numFmtId="0" fontId="30" fillId="0" borderId="0" xfId="19" applyFont="1"/>
    <xf numFmtId="0" fontId="30" fillId="0" borderId="0" xfId="19" applyFont="1" applyAlignment="1">
      <alignment vertical="center"/>
    </xf>
    <xf numFmtId="0" fontId="30" fillId="0" borderId="0" xfId="19" applyFont="1" applyAlignment="1">
      <alignment horizontal="left" vertical="center"/>
    </xf>
    <xf numFmtId="0" fontId="27" fillId="0" borderId="0" xfId="19" applyAlignment="1">
      <alignment vertical="center"/>
    </xf>
    <xf numFmtId="43" fontId="28" fillId="0" borderId="0" xfId="19" applyNumberFormat="1" applyFont="1"/>
    <xf numFmtId="43" fontId="27" fillId="0" borderId="0" xfId="19" applyNumberFormat="1"/>
    <xf numFmtId="0" fontId="30" fillId="0" borderId="0" xfId="19" applyFont="1" applyAlignment="1">
      <alignment horizontal="center" vertical="center"/>
    </xf>
    <xf numFmtId="0" fontId="39" fillId="0" borderId="0" xfId="19" applyFont="1"/>
    <xf numFmtId="0" fontId="39" fillId="0" borderId="0" xfId="19" applyFont="1" applyAlignment="1">
      <alignment horizontal="center" vertical="center"/>
    </xf>
    <xf numFmtId="0" fontId="49" fillId="0" borderId="0" xfId="19" applyFont="1"/>
    <xf numFmtId="0" fontId="39" fillId="0" borderId="0" xfId="19" applyFont="1" applyAlignment="1">
      <alignment vertical="center"/>
    </xf>
    <xf numFmtId="43" fontId="11" fillId="0" borderId="12" xfId="19" applyNumberFormat="1" applyFont="1" applyBorder="1" applyAlignment="1">
      <alignment vertical="center"/>
    </xf>
    <xf numFmtId="0" fontId="11" fillId="0" borderId="12" xfId="19" applyFont="1" applyBorder="1" applyAlignment="1">
      <alignment horizontal="center" vertical="center"/>
    </xf>
    <xf numFmtId="18" fontId="11" fillId="0" borderId="12" xfId="19" applyNumberFormat="1" applyFont="1" applyBorder="1" applyAlignment="1">
      <alignment horizontal="center" vertical="center"/>
    </xf>
    <xf numFmtId="43" fontId="11" fillId="0" borderId="12" xfId="19" applyNumberFormat="1" applyFont="1" applyBorder="1" applyAlignment="1">
      <alignment horizontal="left" vertical="center"/>
    </xf>
    <xf numFmtId="0" fontId="32" fillId="2" borderId="20" xfId="19" applyFont="1" applyFill="1" applyBorder="1" applyAlignment="1">
      <alignment vertical="center"/>
    </xf>
    <xf numFmtId="0" fontId="32" fillId="2" borderId="0" xfId="19" applyFont="1" applyFill="1" applyAlignment="1">
      <alignment vertical="center"/>
    </xf>
    <xf numFmtId="0" fontId="45" fillId="2" borderId="23" xfId="19" applyFont="1" applyFill="1" applyBorder="1" applyAlignment="1">
      <alignment vertical="center"/>
    </xf>
    <xf numFmtId="0" fontId="45" fillId="2" borderId="23" xfId="19" applyFont="1" applyFill="1" applyBorder="1"/>
    <xf numFmtId="43" fontId="45" fillId="2" borderId="23" xfId="19" applyNumberFormat="1" applyFont="1" applyFill="1" applyBorder="1"/>
    <xf numFmtId="0" fontId="45" fillId="2" borderId="24" xfId="19" applyFont="1" applyFill="1" applyBorder="1"/>
    <xf numFmtId="0" fontId="7" fillId="2" borderId="18" xfId="19" applyFont="1" applyFill="1" applyBorder="1" applyAlignment="1">
      <alignment vertical="center"/>
    </xf>
    <xf numFmtId="0" fontId="7" fillId="2" borderId="21" xfId="19" applyFont="1" applyFill="1" applyBorder="1" applyAlignment="1">
      <alignment vertical="center"/>
    </xf>
    <xf numFmtId="0" fontId="27" fillId="2" borderId="0" xfId="19" applyFill="1"/>
    <xf numFmtId="0" fontId="5" fillId="2" borderId="0" xfId="19" applyFont="1" applyFill="1"/>
    <xf numFmtId="0" fontId="28" fillId="2" borderId="0" xfId="19" applyFont="1" applyFill="1" applyAlignment="1">
      <alignment wrapText="1"/>
    </xf>
    <xf numFmtId="0" fontId="28" fillId="2" borderId="0" xfId="19" applyFont="1" applyFill="1" applyAlignment="1">
      <alignment vertical="center"/>
    </xf>
    <xf numFmtId="0" fontId="31" fillId="2" borderId="0" xfId="19" applyFont="1" applyFill="1" applyAlignment="1">
      <alignment horizontal="center" vertical="center"/>
    </xf>
    <xf numFmtId="0" fontId="31" fillId="2" borderId="18" xfId="19" applyFont="1" applyFill="1" applyBorder="1" applyAlignment="1">
      <alignment vertical="center"/>
    </xf>
    <xf numFmtId="0" fontId="31" fillId="2" borderId="21" xfId="19" applyFont="1" applyFill="1" applyBorder="1" applyAlignment="1">
      <alignment vertical="center"/>
    </xf>
    <xf numFmtId="0" fontId="31" fillId="2" borderId="20" xfId="19" applyFont="1" applyFill="1" applyBorder="1" applyAlignment="1">
      <alignment vertical="center"/>
    </xf>
    <xf numFmtId="166" fontId="34" fillId="2" borderId="20" xfId="19" applyNumberFormat="1" applyFont="1" applyFill="1" applyBorder="1"/>
    <xf numFmtId="166" fontId="34" fillId="2" borderId="20" xfId="19" applyNumberFormat="1" applyFont="1" applyFill="1" applyBorder="1" applyAlignment="1">
      <alignment vertical="center"/>
    </xf>
    <xf numFmtId="43" fontId="34" fillId="2" borderId="20" xfId="19" applyNumberFormat="1" applyFont="1" applyFill="1" applyBorder="1"/>
    <xf numFmtId="0" fontId="34" fillId="2" borderId="21" xfId="19" applyFont="1" applyFill="1" applyBorder="1" applyAlignment="1">
      <alignment vertical="center"/>
    </xf>
    <xf numFmtId="0" fontId="28" fillId="2" borderId="0" xfId="19" applyFont="1" applyFill="1"/>
    <xf numFmtId="43" fontId="28" fillId="2" borderId="0" xfId="19" applyNumberFormat="1" applyFont="1" applyFill="1"/>
    <xf numFmtId="0" fontId="49" fillId="2" borderId="0" xfId="19" applyFont="1" applyFill="1"/>
    <xf numFmtId="0" fontId="39" fillId="2" borderId="0" xfId="19" applyFont="1" applyFill="1"/>
    <xf numFmtId="0" fontId="8" fillId="2" borderId="0" xfId="19" applyFont="1" applyFill="1"/>
    <xf numFmtId="0" fontId="47" fillId="2" borderId="0" xfId="19" applyFont="1" applyFill="1" applyAlignment="1">
      <alignment wrapText="1"/>
    </xf>
    <xf numFmtId="0" fontId="47" fillId="2" borderId="0" xfId="19" applyFont="1" applyFill="1" applyAlignment="1">
      <alignment vertical="center"/>
    </xf>
    <xf numFmtId="166" fontId="47" fillId="2" borderId="0" xfId="19" applyNumberFormat="1" applyFont="1" applyFill="1"/>
    <xf numFmtId="0" fontId="27" fillId="2" borderId="0" xfId="19" applyFill="1" applyAlignment="1">
      <alignment vertical="center"/>
    </xf>
    <xf numFmtId="0" fontId="6" fillId="2" borderId="0" xfId="19" applyFont="1" applyFill="1" applyAlignment="1">
      <alignment horizontal="center" vertical="center"/>
    </xf>
    <xf numFmtId="0" fontId="31" fillId="2" borderId="0" xfId="19" applyFont="1" applyFill="1" applyAlignment="1">
      <alignment horizontal="center" vertical="center" wrapText="1"/>
    </xf>
    <xf numFmtId="43" fontId="31" fillId="2" borderId="0" xfId="19" applyNumberFormat="1" applyFont="1" applyFill="1" applyAlignment="1">
      <alignment horizontal="center" vertical="center"/>
    </xf>
    <xf numFmtId="0" fontId="32" fillId="2" borderId="0" xfId="19" applyFont="1" applyFill="1" applyAlignment="1">
      <alignment horizontal="center" vertical="center"/>
    </xf>
    <xf numFmtId="0" fontId="32" fillId="2" borderId="0" xfId="19" applyFont="1" applyFill="1" applyAlignment="1">
      <alignment horizontal="left" vertical="center"/>
    </xf>
    <xf numFmtId="43" fontId="32" fillId="2" borderId="0" xfId="19" applyNumberFormat="1" applyFont="1" applyFill="1" applyAlignment="1">
      <alignment horizontal="center" vertical="center"/>
    </xf>
    <xf numFmtId="0" fontId="39" fillId="2" borderId="0" xfId="19" applyFont="1" applyFill="1" applyAlignment="1">
      <alignment vertical="center"/>
    </xf>
    <xf numFmtId="0" fontId="39" fillId="2" borderId="0" xfId="19" applyFont="1" applyFill="1" applyAlignment="1">
      <alignment horizontal="center" vertical="center"/>
    </xf>
    <xf numFmtId="0" fontId="30" fillId="2" borderId="0" xfId="19" applyFont="1" applyFill="1" applyAlignment="1">
      <alignment vertical="center"/>
    </xf>
    <xf numFmtId="0" fontId="30" fillId="2" borderId="0" xfId="19" applyFont="1" applyFill="1" applyAlignment="1">
      <alignment horizontal="left" vertical="center"/>
    </xf>
    <xf numFmtId="0" fontId="37" fillId="2" borderId="0" xfId="19" applyFont="1" applyFill="1" applyAlignment="1">
      <alignment horizontal="left" vertical="center"/>
    </xf>
    <xf numFmtId="43" fontId="11" fillId="0" borderId="12" xfId="19" applyNumberFormat="1" applyFont="1" applyBorder="1" applyAlignment="1">
      <alignment horizontal="center" vertical="center"/>
    </xf>
    <xf numFmtId="43" fontId="13" fillId="0" borderId="12" xfId="19" applyNumberFormat="1" applyFont="1" applyBorder="1" applyAlignment="1">
      <alignment vertical="center"/>
    </xf>
    <xf numFmtId="0" fontId="43" fillId="2" borderId="22" xfId="19" applyFont="1" applyFill="1" applyBorder="1" applyAlignment="1"/>
    <xf numFmtId="0" fontId="5" fillId="2" borderId="0" xfId="19" applyFont="1" applyFill="1" applyBorder="1"/>
    <xf numFmtId="0" fontId="34" fillId="2" borderId="0" xfId="19" applyFont="1" applyFill="1" applyBorder="1" applyAlignment="1">
      <alignment wrapText="1"/>
    </xf>
    <xf numFmtId="0" fontId="34" fillId="2" borderId="0" xfId="19" applyFont="1" applyFill="1" applyBorder="1" applyAlignment="1">
      <alignment vertical="center"/>
    </xf>
    <xf numFmtId="0" fontId="31" fillId="2" borderId="0" xfId="19" applyFont="1" applyFill="1" applyBorder="1" applyAlignment="1">
      <alignment vertical="center"/>
    </xf>
    <xf numFmtId="166" fontId="34" fillId="2" borderId="0" xfId="19" applyNumberFormat="1" applyFont="1" applyFill="1" applyBorder="1" applyAlignment="1">
      <alignment horizontal="right"/>
    </xf>
    <xf numFmtId="166" fontId="34" fillId="2" borderId="0" xfId="19" applyNumberFormat="1" applyFont="1" applyFill="1" applyBorder="1" applyAlignment="1">
      <alignment horizontal="right" vertical="center"/>
    </xf>
    <xf numFmtId="0" fontId="31" fillId="2" borderId="10" xfId="19" applyFont="1" applyFill="1" applyBorder="1" applyAlignment="1">
      <alignment vertical="center"/>
    </xf>
    <xf numFmtId="166" fontId="34" fillId="2" borderId="0" xfId="19" applyNumberFormat="1" applyFont="1" applyFill="1" applyBorder="1"/>
    <xf numFmtId="166" fontId="34" fillId="2" borderId="0" xfId="19" applyNumberFormat="1" applyFont="1" applyFill="1" applyBorder="1" applyAlignment="1">
      <alignment vertical="center"/>
    </xf>
    <xf numFmtId="43" fontId="34" fillId="2" borderId="0" xfId="19" applyNumberFormat="1" applyFont="1" applyFill="1" applyBorder="1"/>
    <xf numFmtId="166" fontId="34" fillId="2" borderId="5" xfId="19" applyNumberFormat="1" applyFont="1" applyFill="1" applyBorder="1"/>
    <xf numFmtId="0" fontId="43" fillId="2" borderId="6" xfId="19" applyFont="1" applyFill="1" applyBorder="1" applyAlignment="1"/>
    <xf numFmtId="0" fontId="42" fillId="2" borderId="0" xfId="19" applyFont="1" applyFill="1" applyBorder="1" applyAlignment="1"/>
    <xf numFmtId="166" fontId="34" fillId="2" borderId="34" xfId="19" applyNumberFormat="1" applyFont="1" applyFill="1" applyBorder="1"/>
    <xf numFmtId="0" fontId="5" fillId="2" borderId="2" xfId="19" applyFont="1" applyFill="1" applyBorder="1"/>
    <xf numFmtId="0" fontId="34" fillId="2" borderId="7" xfId="19" applyFont="1" applyFill="1" applyBorder="1" applyAlignment="1">
      <alignment wrapText="1"/>
    </xf>
    <xf numFmtId="0" fontId="34" fillId="2" borderId="7" xfId="19" applyFont="1" applyFill="1" applyBorder="1" applyAlignment="1">
      <alignment horizontal="center" wrapText="1"/>
    </xf>
    <xf numFmtId="0" fontId="34" fillId="2" borderId="35" xfId="19" applyFont="1" applyFill="1" applyBorder="1" applyAlignment="1">
      <alignment vertical="center"/>
    </xf>
    <xf numFmtId="0" fontId="34" fillId="2" borderId="36" xfId="19" applyFont="1" applyFill="1" applyBorder="1" applyAlignment="1">
      <alignment vertical="center"/>
    </xf>
    <xf numFmtId="0" fontId="34" fillId="2" borderId="7" xfId="19" applyFont="1" applyFill="1" applyBorder="1" applyAlignment="1">
      <alignment vertical="center"/>
    </xf>
    <xf numFmtId="166" fontId="34" fillId="2" borderId="7" xfId="19" applyNumberFormat="1" applyFont="1" applyFill="1" applyBorder="1" applyAlignment="1">
      <alignment horizontal="center"/>
    </xf>
    <xf numFmtId="166" fontId="34" fillId="2" borderId="7" xfId="19" applyNumberFormat="1" applyFont="1" applyFill="1" applyBorder="1" applyAlignment="1">
      <alignment horizontal="center" vertical="center"/>
    </xf>
    <xf numFmtId="43" fontId="34" fillId="2" borderId="7" xfId="19" applyNumberFormat="1" applyFont="1" applyFill="1" applyBorder="1" applyAlignment="1">
      <alignment horizontal="center"/>
    </xf>
    <xf numFmtId="166" fontId="34" fillId="2" borderId="1" xfId="19" applyNumberFormat="1" applyFont="1" applyFill="1" applyBorder="1"/>
    <xf numFmtId="0" fontId="31" fillId="2" borderId="38" xfId="19" applyFont="1" applyFill="1" applyBorder="1" applyAlignment="1">
      <alignment vertical="center"/>
    </xf>
    <xf numFmtId="166" fontId="34" fillId="2" borderId="10" xfId="19" applyNumberFormat="1" applyFont="1" applyFill="1" applyBorder="1"/>
    <xf numFmtId="166" fontId="34" fillId="2" borderId="10" xfId="19" applyNumberFormat="1" applyFont="1" applyFill="1" applyBorder="1" applyAlignment="1">
      <alignment vertical="center"/>
    </xf>
    <xf numFmtId="43" fontId="34" fillId="2" borderId="10" xfId="19" applyNumberFormat="1" applyFont="1" applyFill="1" applyBorder="1"/>
    <xf numFmtId="166" fontId="34" fillId="2" borderId="9" xfId="19" applyNumberFormat="1" applyFont="1" applyFill="1" applyBorder="1"/>
    <xf numFmtId="0" fontId="32" fillId="2" borderId="20" xfId="19" applyFont="1" applyFill="1" applyBorder="1" applyAlignment="1">
      <alignment horizontal="center" vertical="center"/>
    </xf>
    <xf numFmtId="166" fontId="32" fillId="2" borderId="18" xfId="19" applyNumberFormat="1" applyFont="1" applyFill="1" applyBorder="1" applyAlignment="1">
      <alignment horizontal="center" vertical="center"/>
    </xf>
    <xf numFmtId="0" fontId="32" fillId="2" borderId="27" xfId="19" applyFont="1" applyFill="1" applyBorder="1" applyAlignment="1">
      <alignment horizontal="center" vertical="center"/>
    </xf>
    <xf numFmtId="0" fontId="32" fillId="2" borderId="21" xfId="19" applyFont="1" applyFill="1" applyBorder="1" applyAlignment="1">
      <alignment horizontal="center" vertical="center"/>
    </xf>
    <xf numFmtId="166" fontId="32" fillId="2" borderId="21" xfId="19" applyNumberFormat="1" applyFont="1" applyFill="1" applyBorder="1" applyAlignment="1">
      <alignment horizontal="center" vertical="center"/>
    </xf>
    <xf numFmtId="0" fontId="0" fillId="2" borderId="0" xfId="0" applyFill="1"/>
    <xf numFmtId="0" fontId="53" fillId="2" borderId="0" xfId="0" applyFont="1" applyFill="1" applyAlignment="1">
      <alignment vertical="center"/>
    </xf>
    <xf numFmtId="0" fontId="54" fillId="2" borderId="0" xfId="0" applyFont="1" applyFill="1"/>
    <xf numFmtId="0" fontId="54" fillId="2" borderId="0" xfId="0" applyFont="1" applyFill="1" applyBorder="1"/>
    <xf numFmtId="0" fontId="20" fillId="2" borderId="6" xfId="0" applyFont="1" applyFill="1" applyBorder="1"/>
    <xf numFmtId="0" fontId="20" fillId="2" borderId="0" xfId="0" applyFont="1" applyFill="1"/>
    <xf numFmtId="0" fontId="20" fillId="2" borderId="5" xfId="0" applyFont="1" applyFill="1" applyBorder="1"/>
    <xf numFmtId="0" fontId="21" fillId="2" borderId="5" xfId="0" applyFont="1" applyFill="1" applyBorder="1"/>
    <xf numFmtId="0" fontId="20" fillId="2" borderId="0" xfId="0" applyFont="1" applyFill="1" applyBorder="1"/>
    <xf numFmtId="0" fontId="21" fillId="2" borderId="0" xfId="0" applyFont="1" applyFill="1" applyBorder="1"/>
    <xf numFmtId="0" fontId="22" fillId="2" borderId="2" xfId="0" applyFont="1" applyFill="1" applyBorder="1" applyAlignment="1">
      <alignment horizontal="center"/>
    </xf>
    <xf numFmtId="0" fontId="22" fillId="2" borderId="7" xfId="0" applyFont="1" applyFill="1" applyBorder="1" applyAlignment="1">
      <alignment horizontal="center"/>
    </xf>
    <xf numFmtId="0" fontId="22" fillId="2" borderId="1" xfId="0" applyFont="1" applyFill="1" applyBorder="1" applyAlignment="1">
      <alignment horizontal="center"/>
    </xf>
    <xf numFmtId="0" fontId="22" fillId="2" borderId="3" xfId="0" applyFont="1" applyFill="1" applyBorder="1" applyAlignment="1">
      <alignment horizontal="center" vertical="center" wrapText="1"/>
    </xf>
    <xf numFmtId="0" fontId="22" fillId="2" borderId="32"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0" fillId="2" borderId="10" xfId="0" applyFont="1" applyFill="1" applyBorder="1"/>
    <xf numFmtId="0" fontId="20" fillId="2" borderId="9" xfId="0" applyFont="1" applyFill="1" applyBorder="1"/>
    <xf numFmtId="0" fontId="21" fillId="2" borderId="6" xfId="0" applyFont="1" applyFill="1" applyBorder="1"/>
    <xf numFmtId="0" fontId="21" fillId="2" borderId="10" xfId="0" applyFont="1" applyFill="1" applyBorder="1"/>
    <xf numFmtId="0" fontId="20" fillId="2" borderId="10" xfId="0" applyFont="1" applyFill="1" applyBorder="1" applyAlignment="1">
      <alignment wrapText="1"/>
    </xf>
    <xf numFmtId="0" fontId="21" fillId="2" borderId="10" xfId="0" applyFont="1" applyFill="1" applyBorder="1" applyAlignment="1">
      <alignment wrapText="1"/>
    </xf>
    <xf numFmtId="0" fontId="21" fillId="2" borderId="9" xfId="0" applyFont="1" applyFill="1" applyBorder="1" applyAlignment="1">
      <alignment wrapText="1"/>
    </xf>
    <xf numFmtId="0" fontId="20" fillId="2" borderId="6" xfId="0" applyFont="1" applyFill="1" applyBorder="1" applyAlignment="1">
      <alignment wrapText="1"/>
    </xf>
    <xf numFmtId="0" fontId="20" fillId="2" borderId="0" xfId="0" applyFont="1" applyFill="1" applyAlignment="1">
      <alignment wrapText="1"/>
    </xf>
    <xf numFmtId="0" fontId="20" fillId="2" borderId="2" xfId="0" applyFont="1" applyFill="1" applyBorder="1" applyAlignment="1">
      <alignment wrapText="1"/>
    </xf>
    <xf numFmtId="0" fontId="20" fillId="2" borderId="7" xfId="0" applyFont="1" applyFill="1" applyBorder="1" applyAlignment="1">
      <alignment wrapText="1"/>
    </xf>
    <xf numFmtId="0" fontId="20" fillId="2" borderId="1" xfId="0" applyFont="1" applyFill="1" applyBorder="1" applyAlignment="1">
      <alignment wrapText="1"/>
    </xf>
    <xf numFmtId="0" fontId="21" fillId="2" borderId="0" xfId="0" applyFont="1" applyFill="1" applyAlignment="1">
      <alignment wrapText="1"/>
    </xf>
    <xf numFmtId="0" fontId="21" fillId="2" borderId="6" xfId="0" applyFont="1" applyFill="1" applyBorder="1" applyAlignment="1"/>
    <xf numFmtId="0" fontId="58" fillId="0" borderId="12" xfId="0" applyFont="1" applyBorder="1" applyAlignment="1">
      <alignment horizontal="center" vertical="center"/>
    </xf>
    <xf numFmtId="0" fontId="58" fillId="0" borderId="12" xfId="0" applyFont="1" applyBorder="1" applyAlignment="1">
      <alignment horizontal="center" vertical="center" wrapText="1"/>
    </xf>
    <xf numFmtId="0" fontId="26" fillId="0" borderId="12" xfId="0" applyFont="1" applyBorder="1" applyAlignment="1">
      <alignment horizontal="center"/>
    </xf>
    <xf numFmtId="0" fontId="26" fillId="0" borderId="12" xfId="0" applyFont="1" applyBorder="1" applyAlignment="1">
      <alignment horizontal="center" wrapText="1"/>
    </xf>
    <xf numFmtId="0" fontId="21" fillId="0" borderId="12" xfId="0" applyFont="1" applyBorder="1" applyAlignment="1">
      <alignment horizontal="center" vertical="center" wrapText="1"/>
    </xf>
    <xf numFmtId="0" fontId="14" fillId="2" borderId="8" xfId="16" applyFont="1" applyFill="1" applyBorder="1"/>
    <xf numFmtId="0" fontId="14" fillId="2" borderId="10" xfId="16" applyFont="1" applyFill="1" applyBorder="1"/>
    <xf numFmtId="0" fontId="14" fillId="2" borderId="7" xfId="16" applyFont="1" applyFill="1" applyBorder="1"/>
    <xf numFmtId="0" fontId="14" fillId="2" borderId="7" xfId="16" applyFont="1" applyFill="1" applyBorder="1" applyAlignment="1">
      <alignment vertical="top"/>
    </xf>
    <xf numFmtId="0" fontId="14" fillId="2" borderId="1" xfId="16" applyFont="1" applyFill="1" applyBorder="1" applyAlignment="1">
      <alignment wrapText="1"/>
    </xf>
    <xf numFmtId="0" fontId="14" fillId="2" borderId="6" xfId="16" applyFont="1" applyFill="1" applyBorder="1"/>
    <xf numFmtId="0" fontId="14" fillId="2" borderId="5" xfId="16" applyFont="1" applyFill="1" applyBorder="1"/>
    <xf numFmtId="0" fontId="14" fillId="2" borderId="6" xfId="16" applyFont="1" applyFill="1" applyBorder="1" applyAlignment="1">
      <alignment horizontal="center" wrapText="1"/>
    </xf>
    <xf numFmtId="0" fontId="15" fillId="2" borderId="5" xfId="16" applyFont="1" applyFill="1" applyBorder="1" applyAlignment="1">
      <alignment horizontal="center" wrapText="1"/>
    </xf>
    <xf numFmtId="0" fontId="15" fillId="2" borderId="10" xfId="16" applyFont="1" applyFill="1" applyBorder="1" applyAlignment="1">
      <alignment vertical="center"/>
    </xf>
    <xf numFmtId="0" fontId="14" fillId="2" borderId="10" xfId="16" applyFont="1" applyFill="1" applyBorder="1" applyAlignment="1">
      <alignment wrapText="1"/>
    </xf>
    <xf numFmtId="0" fontId="14" fillId="2" borderId="10" xfId="16" applyFont="1" applyFill="1" applyBorder="1" applyAlignment="1">
      <alignment horizontal="center"/>
    </xf>
    <xf numFmtId="0" fontId="14" fillId="2" borderId="10" xfId="16" applyFont="1" applyFill="1" applyBorder="1" applyAlignment="1">
      <alignment horizontal="center" wrapText="1"/>
    </xf>
    <xf numFmtId="0" fontId="15" fillId="2" borderId="12" xfId="16" applyFont="1" applyFill="1" applyBorder="1" applyAlignment="1">
      <alignment vertical="center"/>
    </xf>
    <xf numFmtId="0" fontId="14" fillId="2" borderId="12" xfId="16" applyFont="1" applyFill="1" applyBorder="1"/>
    <xf numFmtId="0" fontId="14" fillId="2" borderId="0" xfId="16" applyFont="1" applyFill="1" applyBorder="1"/>
    <xf numFmtId="0" fontId="15" fillId="2" borderId="12" xfId="16" quotePrefix="1" applyFont="1" applyFill="1" applyBorder="1" applyAlignment="1">
      <alignment vertical="center"/>
    </xf>
    <xf numFmtId="0" fontId="15" fillId="2" borderId="8" xfId="16" applyFont="1" applyFill="1" applyBorder="1" applyAlignment="1">
      <alignment vertical="center"/>
    </xf>
    <xf numFmtId="0" fontId="14" fillId="2" borderId="10" xfId="16" applyFont="1" applyFill="1" applyBorder="1" applyAlignment="1">
      <alignment vertical="center"/>
    </xf>
    <xf numFmtId="0" fontId="14" fillId="2" borderId="9" xfId="16" applyFont="1" applyFill="1" applyBorder="1" applyAlignment="1">
      <alignment vertical="center"/>
    </xf>
    <xf numFmtId="0" fontId="14" fillId="2" borderId="0" xfId="16" applyFont="1" applyFill="1" applyBorder="1" applyAlignment="1">
      <alignment horizontal="left" indent="1"/>
    </xf>
    <xf numFmtId="0" fontId="14" fillId="2" borderId="2" xfId="16" applyFont="1" applyFill="1" applyBorder="1"/>
    <xf numFmtId="0" fontId="14" fillId="2" borderId="1" xfId="16" applyFont="1" applyFill="1" applyBorder="1"/>
    <xf numFmtId="0" fontId="14" fillId="2" borderId="8" xfId="16" applyFont="1" applyFill="1" applyBorder="1" applyAlignment="1">
      <alignment horizontal="center" wrapText="1"/>
    </xf>
    <xf numFmtId="43" fontId="15" fillId="2" borderId="10" xfId="16" applyNumberFormat="1" applyFont="1" applyFill="1" applyBorder="1" applyAlignment="1">
      <alignment horizontal="center" wrapText="1"/>
    </xf>
    <xf numFmtId="0" fontId="15" fillId="2" borderId="10" xfId="16" applyFont="1" applyFill="1" applyBorder="1" applyAlignment="1">
      <alignment horizontal="center" wrapText="1"/>
    </xf>
    <xf numFmtId="0" fontId="15" fillId="2" borderId="9" xfId="16" applyFont="1" applyFill="1" applyBorder="1" applyAlignment="1">
      <alignment horizontal="center" wrapText="1"/>
    </xf>
    <xf numFmtId="0" fontId="14" fillId="2" borderId="0" xfId="16" applyFont="1" applyFill="1" applyBorder="1" applyAlignment="1">
      <alignment horizontal="center" wrapText="1"/>
    </xf>
    <xf numFmtId="0" fontId="14" fillId="2" borderId="0" xfId="16" applyFont="1" applyFill="1" applyBorder="1" applyAlignment="1">
      <alignment wrapText="1"/>
    </xf>
    <xf numFmtId="0" fontId="14" fillId="2" borderId="0" xfId="16" applyFont="1" applyFill="1" applyBorder="1" applyAlignment="1">
      <alignment horizontal="center"/>
    </xf>
    <xf numFmtId="43" fontId="15" fillId="2" borderId="0" xfId="16" applyNumberFormat="1" applyFont="1" applyFill="1" applyBorder="1" applyAlignment="1">
      <alignment horizontal="center" wrapText="1"/>
    </xf>
    <xf numFmtId="0" fontId="15" fillId="2" borderId="0" xfId="16" applyFont="1" applyFill="1" applyBorder="1" applyAlignment="1">
      <alignment horizontal="center" wrapText="1"/>
    </xf>
    <xf numFmtId="0" fontId="15" fillId="0" borderId="12" xfId="16" applyFont="1" applyBorder="1" applyAlignment="1">
      <alignment vertical="center"/>
    </xf>
    <xf numFmtId="0" fontId="14" fillId="0" borderId="12" xfId="16" applyFont="1" applyBorder="1"/>
    <xf numFmtId="0" fontId="14" fillId="2" borderId="12" xfId="16" applyFont="1" applyFill="1" applyBorder="1" applyAlignment="1">
      <alignment horizontal="left" indent="2"/>
    </xf>
    <xf numFmtId="0" fontId="14" fillId="2" borderId="2" xfId="16" applyFont="1" applyFill="1" applyBorder="1" applyAlignment="1">
      <alignment wrapText="1"/>
    </xf>
    <xf numFmtId="0" fontId="14" fillId="2" borderId="9" xfId="16" applyFont="1" applyFill="1" applyBorder="1"/>
    <xf numFmtId="0" fontId="15" fillId="2" borderId="12" xfId="16" applyFont="1" applyFill="1" applyBorder="1"/>
    <xf numFmtId="0" fontId="54" fillId="2" borderId="0" xfId="0" applyFont="1" applyFill="1" applyAlignment="1">
      <alignment horizontal="left" vertical="center" wrapText="1"/>
    </xf>
    <xf numFmtId="0" fontId="22" fillId="2" borderId="6" xfId="0" applyFont="1" applyFill="1" applyBorder="1" applyAlignment="1"/>
    <xf numFmtId="0" fontId="22" fillId="2" borderId="0" xfId="0" applyFont="1" applyFill="1" applyBorder="1" applyAlignment="1"/>
    <xf numFmtId="0" fontId="22" fillId="2" borderId="5" xfId="0" applyFont="1" applyFill="1" applyBorder="1" applyAlignment="1"/>
    <xf numFmtId="0" fontId="21" fillId="2" borderId="6" xfId="0" applyFont="1" applyFill="1" applyBorder="1" applyAlignment="1">
      <alignment vertical="center"/>
    </xf>
    <xf numFmtId="0" fontId="21" fillId="2" borderId="0" xfId="0" applyFont="1" applyFill="1" applyAlignment="1">
      <alignment vertical="center"/>
    </xf>
    <xf numFmtId="0" fontId="20" fillId="2" borderId="0" xfId="0" applyFont="1" applyFill="1" applyBorder="1" applyAlignment="1">
      <alignment vertical="center"/>
    </xf>
    <xf numFmtId="18" fontId="11" fillId="3" borderId="12" xfId="19" applyNumberFormat="1" applyFont="1" applyFill="1" applyBorder="1" applyAlignment="1">
      <alignment horizontal="center" vertical="center"/>
    </xf>
    <xf numFmtId="0" fontId="11" fillId="3" borderId="12" xfId="19" applyFont="1" applyFill="1" applyBorder="1" applyAlignment="1">
      <alignment horizontal="center" vertical="center"/>
    </xf>
    <xf numFmtId="43" fontId="11" fillId="3" borderId="12" xfId="19" applyNumberFormat="1" applyFont="1" applyFill="1" applyBorder="1" applyAlignment="1">
      <alignment vertical="center"/>
    </xf>
    <xf numFmtId="43" fontId="11" fillId="3" borderId="12" xfId="19" applyNumberFormat="1" applyFont="1" applyFill="1" applyBorder="1" applyAlignment="1">
      <alignment horizontal="left" vertical="center"/>
    </xf>
    <xf numFmtId="43" fontId="11" fillId="3" borderId="12" xfId="19" applyNumberFormat="1" applyFont="1" applyFill="1" applyBorder="1" applyAlignment="1">
      <alignment horizontal="center" vertical="center"/>
    </xf>
    <xf numFmtId="0" fontId="13" fillId="2" borderId="0" xfId="19" applyFont="1" applyFill="1" applyAlignment="1">
      <alignment horizontal="left" vertical="center"/>
    </xf>
    <xf numFmtId="0" fontId="59" fillId="2" borderId="0" xfId="0" applyFont="1" applyFill="1" applyAlignment="1">
      <alignment vertical="center"/>
    </xf>
    <xf numFmtId="0" fontId="31" fillId="2" borderId="7" xfId="0" applyFont="1" applyFill="1" applyBorder="1" applyAlignment="1">
      <alignment horizontal="right" vertical="center"/>
    </xf>
    <xf numFmtId="0" fontId="59" fillId="0" borderId="0" xfId="0" applyFont="1" applyAlignment="1">
      <alignment vertical="center"/>
    </xf>
    <xf numFmtId="0" fontId="0" fillId="0" borderId="0" xfId="0" applyAlignment="1">
      <alignment vertical="center"/>
    </xf>
    <xf numFmtId="0" fontId="62" fillId="3" borderId="12" xfId="0" applyFont="1" applyFill="1" applyBorder="1" applyAlignment="1">
      <alignment horizontal="left" vertical="center"/>
    </xf>
    <xf numFmtId="0" fontId="62" fillId="3" borderId="12" xfId="0" applyFont="1" applyFill="1" applyBorder="1" applyAlignment="1">
      <alignment horizontal="left"/>
    </xf>
    <xf numFmtId="43" fontId="62" fillId="3" borderId="12" xfId="0" applyNumberFormat="1" applyFont="1" applyFill="1" applyBorder="1" applyAlignment="1">
      <alignment horizontal="left" vertical="center"/>
    </xf>
    <xf numFmtId="0" fontId="31" fillId="2" borderId="26" xfId="19" applyFont="1" applyFill="1" applyBorder="1" applyAlignment="1">
      <alignment horizontal="center" vertical="center" wrapText="1"/>
    </xf>
    <xf numFmtId="0" fontId="32" fillId="2" borderId="15" xfId="19" applyFont="1" applyFill="1" applyBorder="1" applyAlignment="1">
      <alignment horizontal="center" vertical="center"/>
    </xf>
    <xf numFmtId="0" fontId="31" fillId="2" borderId="0" xfId="0" applyFont="1" applyFill="1" applyAlignment="1">
      <alignment horizontal="right" vertical="center"/>
    </xf>
    <xf numFmtId="49" fontId="14" fillId="0" borderId="0" xfId="16" applyNumberFormat="1" applyFont="1" applyBorder="1"/>
    <xf numFmtId="0" fontId="14" fillId="0" borderId="0" xfId="16" applyFont="1" applyBorder="1"/>
    <xf numFmtId="0" fontId="62" fillId="5" borderId="12" xfId="0" applyFont="1" applyFill="1" applyBorder="1" applyAlignment="1">
      <alignment horizontal="left" vertical="center"/>
    </xf>
    <xf numFmtId="43" fontId="62" fillId="5" borderId="12" xfId="0" applyNumberFormat="1" applyFont="1" applyFill="1" applyBorder="1" applyAlignment="1">
      <alignment horizontal="left" vertical="center"/>
    </xf>
    <xf numFmtId="14" fontId="8" fillId="2" borderId="12" xfId="19" quotePrefix="1" applyNumberFormat="1" applyFont="1" applyFill="1" applyBorder="1" applyAlignment="1">
      <alignment horizontal="center" vertical="center" wrapText="1"/>
    </xf>
    <xf numFmtId="0" fontId="61" fillId="4" borderId="12" xfId="0" applyFont="1" applyFill="1" applyBorder="1" applyAlignment="1">
      <alignment horizontal="right" vertical="center"/>
    </xf>
    <xf numFmtId="0" fontId="14" fillId="2" borderId="7" xfId="16" applyFont="1" applyFill="1" applyBorder="1" applyAlignment="1">
      <alignment wrapText="1"/>
    </xf>
    <xf numFmtId="0" fontId="14" fillId="2" borderId="6" xfId="16" applyFont="1" applyFill="1" applyBorder="1" applyAlignment="1">
      <alignment horizontal="center" vertical="center" wrapText="1"/>
    </xf>
    <xf numFmtId="0" fontId="14" fillId="2" borderId="0" xfId="16" applyFont="1" applyFill="1" applyBorder="1" applyAlignment="1">
      <alignment horizontal="center" vertical="center" wrapText="1"/>
    </xf>
    <xf numFmtId="0" fontId="14" fillId="2" borderId="5" xfId="16" applyFont="1" applyFill="1" applyBorder="1" applyAlignment="1">
      <alignment horizontal="center" vertical="center" wrapText="1"/>
    </xf>
    <xf numFmtId="0" fontId="14" fillId="2" borderId="6" xfId="16" applyFont="1" applyFill="1" applyBorder="1" applyAlignment="1">
      <alignment wrapText="1"/>
    </xf>
    <xf numFmtId="0" fontId="14" fillId="2" borderId="0" xfId="16" applyFont="1" applyFill="1" applyBorder="1" applyAlignment="1">
      <alignment wrapText="1"/>
    </xf>
    <xf numFmtId="0" fontId="14" fillId="2" borderId="5" xfId="16" applyFont="1" applyFill="1" applyBorder="1" applyAlignment="1">
      <alignment wrapText="1"/>
    </xf>
    <xf numFmtId="0" fontId="15" fillId="2" borderId="5" xfId="16" applyFont="1" applyFill="1" applyBorder="1" applyAlignment="1">
      <alignment horizontal="center" vertical="center" wrapText="1"/>
    </xf>
    <xf numFmtId="49" fontId="62" fillId="5" borderId="12" xfId="0" applyNumberFormat="1" applyFont="1" applyFill="1" applyBorder="1" applyAlignment="1">
      <alignment horizontal="left" vertical="center"/>
    </xf>
    <xf numFmtId="0" fontId="41" fillId="2" borderId="0" xfId="19" applyFont="1" applyFill="1" applyAlignment="1">
      <alignment horizontal="right" vertical="center"/>
    </xf>
    <xf numFmtId="0" fontId="65" fillId="0" borderId="0" xfId="0" applyFont="1"/>
    <xf numFmtId="0" fontId="65" fillId="0" borderId="12" xfId="0" applyFont="1" applyBorder="1"/>
    <xf numFmtId="0" fontId="66" fillId="5" borderId="12" xfId="0" applyFont="1" applyFill="1" applyBorder="1"/>
    <xf numFmtId="0" fontId="66" fillId="5" borderId="12" xfId="0" applyFont="1" applyFill="1" applyBorder="1" applyAlignment="1">
      <alignment horizontal="center" vertical="center"/>
    </xf>
    <xf numFmtId="0" fontId="65" fillId="0" borderId="0" xfId="0" applyFont="1" applyAlignment="1">
      <alignment horizontal="center" vertical="center"/>
    </xf>
    <xf numFmtId="0" fontId="67" fillId="0" borderId="12" xfId="0" applyFont="1" applyBorder="1" applyAlignment="1">
      <alignment horizontal="center" vertical="center"/>
    </xf>
    <xf numFmtId="0" fontId="65" fillId="0" borderId="0" xfId="20" applyFont="1"/>
    <xf numFmtId="0" fontId="65" fillId="0" borderId="0" xfId="20" applyFont="1" applyAlignment="1">
      <alignment vertical="center"/>
    </xf>
    <xf numFmtId="0" fontId="66" fillId="2" borderId="12" xfId="20" applyFont="1" applyFill="1" applyBorder="1"/>
    <xf numFmtId="0" fontId="65" fillId="0" borderId="5" xfId="20" applyFont="1" applyBorder="1"/>
    <xf numFmtId="0" fontId="2" fillId="0" borderId="0" xfId="2"/>
    <xf numFmtId="0" fontId="71" fillId="2" borderId="6" xfId="2" applyFont="1" applyFill="1" applyBorder="1"/>
    <xf numFmtId="0" fontId="71" fillId="2" borderId="0" xfId="2" applyFont="1" applyFill="1"/>
    <xf numFmtId="0" fontId="73" fillId="2" borderId="0" xfId="2" applyFont="1" applyFill="1" applyAlignment="1">
      <alignment vertical="center"/>
    </xf>
    <xf numFmtId="0" fontId="74" fillId="0" borderId="0" xfId="2" applyFont="1"/>
    <xf numFmtId="0" fontId="71" fillId="2" borderId="5" xfId="2" applyFont="1" applyFill="1" applyBorder="1"/>
    <xf numFmtId="0" fontId="71" fillId="2" borderId="0" xfId="2" applyFont="1" applyFill="1" applyAlignment="1">
      <alignment horizontal="left" vertical="center"/>
    </xf>
    <xf numFmtId="0" fontId="71" fillId="2" borderId="0" xfId="2" applyFont="1" applyFill="1" applyAlignment="1">
      <alignment vertical="center"/>
    </xf>
    <xf numFmtId="0" fontId="77" fillId="2" borderId="0" xfId="2" applyFont="1" applyFill="1" applyAlignment="1">
      <alignment horizontal="left" vertical="center"/>
    </xf>
    <xf numFmtId="0" fontId="75" fillId="2" borderId="12" xfId="2" applyFont="1" applyFill="1" applyBorder="1" applyAlignment="1">
      <alignment vertical="center"/>
    </xf>
    <xf numFmtId="0" fontId="71" fillId="2" borderId="5" xfId="2" applyFont="1" applyFill="1" applyBorder="1" applyAlignment="1">
      <alignment horizontal="left" vertical="center"/>
    </xf>
    <xf numFmtId="0" fontId="71" fillId="2" borderId="5" xfId="2" applyFont="1" applyFill="1" applyBorder="1" applyAlignment="1">
      <alignment vertical="center"/>
    </xf>
    <xf numFmtId="0" fontId="71" fillId="2" borderId="0" xfId="2" applyFont="1" applyFill="1" applyAlignment="1">
      <alignment horizontal="center" vertical="center"/>
    </xf>
    <xf numFmtId="0" fontId="71" fillId="2" borderId="6" xfId="2" applyFont="1" applyFill="1" applyBorder="1" applyAlignment="1">
      <alignment vertical="center"/>
    </xf>
    <xf numFmtId="0" fontId="75" fillId="2" borderId="0" xfId="2" applyFont="1" applyFill="1" applyAlignment="1">
      <alignment vertical="center"/>
    </xf>
    <xf numFmtId="0" fontId="75" fillId="2" borderId="5" xfId="2" applyFont="1" applyFill="1" applyBorder="1" applyAlignment="1">
      <alignment vertical="center"/>
    </xf>
    <xf numFmtId="0" fontId="43" fillId="0" borderId="0" xfId="2" applyFont="1" applyAlignment="1">
      <alignment vertical="center"/>
    </xf>
    <xf numFmtId="0" fontId="76" fillId="0" borderId="5" xfId="2" applyFont="1" applyBorder="1" applyAlignment="1">
      <alignment horizontal="left" vertical="center"/>
    </xf>
    <xf numFmtId="170" fontId="43" fillId="0" borderId="0" xfId="2" applyNumberFormat="1" applyFont="1" applyAlignment="1">
      <alignment vertical="center"/>
    </xf>
    <xf numFmtId="165" fontId="71" fillId="2" borderId="5" xfId="2" applyNumberFormat="1" applyFont="1" applyFill="1" applyBorder="1" applyAlignment="1">
      <alignment vertical="center"/>
    </xf>
    <xf numFmtId="0" fontId="71" fillId="2" borderId="7" xfId="2" applyFont="1" applyFill="1" applyBorder="1" applyAlignment="1">
      <alignment vertical="center"/>
    </xf>
    <xf numFmtId="49" fontId="62" fillId="5" borderId="12" xfId="0" applyNumberFormat="1" applyFont="1" applyFill="1" applyBorder="1" applyAlignment="1">
      <alignment horizontal="left"/>
    </xf>
    <xf numFmtId="3" fontId="62" fillId="3" borderId="12" xfId="0" applyNumberFormat="1" applyFont="1" applyFill="1" applyBorder="1" applyAlignment="1">
      <alignment horizontal="left" vertical="center"/>
    </xf>
    <xf numFmtId="14" fontId="8" fillId="2" borderId="12" xfId="19" quotePrefix="1" applyNumberFormat="1" applyFont="1" applyFill="1" applyBorder="1" applyAlignment="1">
      <alignment horizontal="center" vertical="center"/>
    </xf>
    <xf numFmtId="14" fontId="8" fillId="0" borderId="12" xfId="19" quotePrefix="1" applyNumberFormat="1" applyFont="1" applyBorder="1" applyAlignment="1">
      <alignment horizontal="center" vertical="center"/>
    </xf>
    <xf numFmtId="14" fontId="8" fillId="0" borderId="11" xfId="19" quotePrefix="1" applyNumberFormat="1" applyFont="1" applyBorder="1" applyAlignment="1">
      <alignment horizontal="center" vertical="center"/>
    </xf>
    <xf numFmtId="0" fontId="11" fillId="3" borderId="13" xfId="19" applyFont="1" applyFill="1" applyBorder="1" applyAlignment="1">
      <alignment horizontal="left" vertical="center" wrapText="1"/>
    </xf>
    <xf numFmtId="0" fontId="26" fillId="0" borderId="12" xfId="0" applyFont="1" applyBorder="1" applyAlignment="1">
      <alignment horizontal="center"/>
    </xf>
    <xf numFmtId="0" fontId="65" fillId="2" borderId="12" xfId="20" applyFont="1" applyFill="1" applyBorder="1" applyAlignment="1">
      <alignment horizontal="left" vertical="center"/>
    </xf>
    <xf numFmtId="0" fontId="66" fillId="2" borderId="12" xfId="20" applyFont="1" applyFill="1" applyBorder="1" applyAlignment="1">
      <alignment horizontal="left" vertical="center"/>
    </xf>
    <xf numFmtId="18" fontId="11" fillId="2" borderId="12" xfId="19" applyNumberFormat="1" applyFont="1" applyFill="1" applyBorder="1" applyAlignment="1">
      <alignment horizontal="center" vertical="center"/>
    </xf>
    <xf numFmtId="18" fontId="11" fillId="2" borderId="14" xfId="19" applyNumberFormat="1" applyFont="1" applyFill="1" applyBorder="1" applyAlignment="1">
      <alignment horizontal="center" vertical="center"/>
    </xf>
    <xf numFmtId="0" fontId="11" fillId="2" borderId="12" xfId="19" applyFont="1" applyFill="1" applyBorder="1" applyAlignment="1">
      <alignment horizontal="center" vertical="center"/>
    </xf>
    <xf numFmtId="43" fontId="11" fillId="2" borderId="12" xfId="19" applyNumberFormat="1" applyFont="1" applyFill="1" applyBorder="1" applyAlignment="1">
      <alignment vertical="center"/>
    </xf>
    <xf numFmtId="43" fontId="11" fillId="2" borderId="15" xfId="19" applyNumberFormat="1" applyFont="1" applyFill="1" applyBorder="1" applyAlignment="1">
      <alignment vertical="center"/>
    </xf>
    <xf numFmtId="43" fontId="11" fillId="2" borderId="14" xfId="19" applyNumberFormat="1" applyFont="1" applyFill="1" applyBorder="1" applyAlignment="1">
      <alignment vertical="center"/>
    </xf>
    <xf numFmtId="49" fontId="65" fillId="2" borderId="13" xfId="20" applyNumberFormat="1" applyFont="1" applyFill="1" applyBorder="1" applyAlignment="1">
      <alignment horizontal="center" vertical="center"/>
    </xf>
    <xf numFmtId="49" fontId="65" fillId="2" borderId="14" xfId="20" applyNumberFormat="1" applyFont="1" applyFill="1" applyBorder="1" applyAlignment="1">
      <alignment horizontal="center" vertical="center"/>
    </xf>
    <xf numFmtId="0" fontId="44" fillId="3" borderId="14" xfId="19" applyFont="1" applyFill="1" applyBorder="1" applyAlignment="1"/>
    <xf numFmtId="0" fontId="26" fillId="0" borderId="12" xfId="0" applyFont="1" applyBorder="1" applyAlignment="1">
      <alignment horizontal="center"/>
    </xf>
    <xf numFmtId="168" fontId="26" fillId="0" borderId="12" xfId="0" applyNumberFormat="1" applyFont="1" applyBorder="1" applyAlignment="1">
      <alignment horizontal="left" vertical="center" wrapText="1"/>
    </xf>
    <xf numFmtId="0" fontId="20" fillId="2" borderId="8" xfId="0" applyFont="1" applyFill="1" applyBorder="1" applyAlignment="1">
      <alignment horizontal="center"/>
    </xf>
    <xf numFmtId="0" fontId="20" fillId="2" borderId="10" xfId="0" applyFont="1" applyFill="1" applyBorder="1" applyAlignment="1">
      <alignment horizontal="center"/>
    </xf>
    <xf numFmtId="0" fontId="20" fillId="2" borderId="9" xfId="0" applyFont="1" applyFill="1" applyBorder="1" applyAlignment="1">
      <alignment horizontal="center"/>
    </xf>
    <xf numFmtId="0" fontId="21" fillId="0" borderId="12" xfId="0" applyFont="1" applyBorder="1" applyAlignment="1">
      <alignment horizontal="center"/>
    </xf>
    <xf numFmtId="0" fontId="58" fillId="0" borderId="12" xfId="0" applyFont="1" applyBorder="1" applyAlignment="1">
      <alignment horizontal="center" vertical="center"/>
    </xf>
    <xf numFmtId="0" fontId="58" fillId="0" borderId="12" xfId="0" applyFont="1" applyBorder="1" applyAlignment="1">
      <alignment horizontal="center" vertical="center" wrapText="1"/>
    </xf>
    <xf numFmtId="0" fontId="20" fillId="2" borderId="0" xfId="0" applyFont="1" applyFill="1" applyBorder="1" applyAlignment="1">
      <alignment horizontal="center"/>
    </xf>
    <xf numFmtId="0" fontId="21" fillId="2" borderId="0" xfId="0" applyFont="1" applyFill="1" applyBorder="1" applyAlignment="1">
      <alignment horizontal="center"/>
    </xf>
    <xf numFmtId="0" fontId="20" fillId="2" borderId="8" xfId="0" applyFont="1" applyFill="1" applyBorder="1" applyAlignment="1">
      <alignment horizontal="left" vertical="center"/>
    </xf>
    <xf numFmtId="0" fontId="20" fillId="2" borderId="10" xfId="0" applyFont="1" applyFill="1" applyBorder="1" applyAlignment="1">
      <alignment horizontal="left" vertical="center"/>
    </xf>
    <xf numFmtId="0" fontId="20" fillId="2" borderId="9" xfId="0" applyFont="1" applyFill="1" applyBorder="1" applyAlignment="1">
      <alignment horizontal="left" vertical="center"/>
    </xf>
    <xf numFmtId="0" fontId="20" fillId="2" borderId="6" xfId="0" applyFont="1" applyFill="1" applyBorder="1" applyAlignment="1">
      <alignment horizontal="left" vertical="center"/>
    </xf>
    <xf numFmtId="0" fontId="20" fillId="2" borderId="0" xfId="0" applyFont="1" applyFill="1" applyBorder="1" applyAlignment="1">
      <alignment horizontal="left" vertical="center"/>
    </xf>
    <xf numFmtId="0" fontId="20" fillId="2" borderId="5" xfId="0" applyFont="1" applyFill="1" applyBorder="1" applyAlignment="1">
      <alignment horizontal="left" vertical="center"/>
    </xf>
    <xf numFmtId="0" fontId="20" fillId="2" borderId="2" xfId="0" applyFont="1" applyFill="1" applyBorder="1" applyAlignment="1">
      <alignment horizontal="left" vertical="center"/>
    </xf>
    <xf numFmtId="0" fontId="20" fillId="2" borderId="7" xfId="0" applyFont="1" applyFill="1" applyBorder="1" applyAlignment="1">
      <alignment horizontal="left" vertical="center"/>
    </xf>
    <xf numFmtId="0" fontId="20" fillId="2" borderId="1" xfId="0" applyFont="1" applyFill="1" applyBorder="1" applyAlignment="1">
      <alignment horizontal="left" vertical="center"/>
    </xf>
    <xf numFmtId="0" fontId="20" fillId="2" borderId="0" xfId="0" applyFont="1" applyFill="1" applyBorder="1" applyAlignment="1">
      <alignment horizontal="left"/>
    </xf>
    <xf numFmtId="0" fontId="20" fillId="2" borderId="0" xfId="0" applyFont="1" applyFill="1" applyAlignment="1">
      <alignment horizontal="left"/>
    </xf>
    <xf numFmtId="0" fontId="20" fillId="2" borderId="5" xfId="0" applyFont="1" applyFill="1" applyBorder="1" applyAlignment="1">
      <alignment horizontal="left"/>
    </xf>
    <xf numFmtId="167" fontId="21" fillId="2" borderId="13" xfId="18" applyNumberFormat="1" applyFont="1" applyFill="1" applyBorder="1" applyAlignment="1">
      <alignment horizontal="center" vertical="center"/>
    </xf>
    <xf numFmtId="167" fontId="21" fillId="2" borderId="14" xfId="18" applyNumberFormat="1" applyFont="1" applyFill="1" applyBorder="1" applyAlignment="1">
      <alignment horizontal="center" vertical="center"/>
    </xf>
    <xf numFmtId="0" fontId="20" fillId="2" borderId="6" xfId="0" applyFont="1" applyFill="1" applyBorder="1" applyAlignment="1">
      <alignment horizontal="left" wrapText="1"/>
    </xf>
    <xf numFmtId="0" fontId="20" fillId="2" borderId="0" xfId="0" applyFont="1" applyFill="1" applyBorder="1" applyAlignment="1">
      <alignment horizontal="left" wrapText="1"/>
    </xf>
    <xf numFmtId="0" fontId="20" fillId="2" borderId="5" xfId="0" applyFont="1" applyFill="1" applyBorder="1" applyAlignment="1">
      <alignment horizontal="left" wrapText="1"/>
    </xf>
    <xf numFmtId="0" fontId="9" fillId="0" borderId="8" xfId="0" applyFont="1" applyBorder="1" applyAlignment="1">
      <alignment horizontal="center" vertical="center"/>
    </xf>
    <xf numFmtId="0" fontId="9" fillId="0" borderId="10" xfId="0" applyFont="1" applyBorder="1" applyAlignment="1">
      <alignment horizontal="center" vertical="center"/>
    </xf>
    <xf numFmtId="0" fontId="9" fillId="0" borderId="9" xfId="0" applyFont="1" applyBorder="1" applyAlignment="1">
      <alignment horizontal="center" vertical="center"/>
    </xf>
    <xf numFmtId="0" fontId="9" fillId="0" borderId="6" xfId="0" applyFont="1" applyBorder="1" applyAlignment="1">
      <alignment horizontal="center" vertical="center"/>
    </xf>
    <xf numFmtId="0" fontId="9" fillId="0" borderId="0" xfId="0" applyFont="1" applyBorder="1" applyAlignment="1">
      <alignment horizontal="center" vertical="center"/>
    </xf>
    <xf numFmtId="0" fontId="9" fillId="0" borderId="5" xfId="0" applyFont="1" applyBorder="1" applyAlignment="1">
      <alignment horizontal="center" vertical="center"/>
    </xf>
    <xf numFmtId="0" fontId="21" fillId="2" borderId="8" xfId="0" applyFont="1" applyFill="1" applyBorder="1" applyAlignment="1">
      <alignment horizontal="left" vertical="center" wrapText="1"/>
    </xf>
    <xf numFmtId="0" fontId="21" fillId="2" borderId="10" xfId="0" applyFont="1" applyFill="1" applyBorder="1" applyAlignment="1">
      <alignment horizontal="left" vertical="center" wrapText="1"/>
    </xf>
    <xf numFmtId="0" fontId="21" fillId="2" borderId="9"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15" fillId="2" borderId="8" xfId="0" applyFont="1" applyFill="1" applyBorder="1" applyAlignment="1">
      <alignment vertical="center" wrapText="1"/>
    </xf>
    <xf numFmtId="0" fontId="15" fillId="2" borderId="10" xfId="0" applyFont="1" applyFill="1" applyBorder="1" applyAlignment="1">
      <alignment vertical="center" wrapText="1"/>
    </xf>
    <xf numFmtId="0" fontId="15" fillId="2" borderId="9" xfId="0" applyFont="1" applyFill="1" applyBorder="1" applyAlignment="1">
      <alignment vertical="center" wrapText="1"/>
    </xf>
    <xf numFmtId="0" fontId="15" fillId="2" borderId="2" xfId="0" applyFont="1" applyFill="1" applyBorder="1" applyAlignment="1">
      <alignment vertical="center" wrapText="1"/>
    </xf>
    <xf numFmtId="0" fontId="15" fillId="2" borderId="7" xfId="0" applyFont="1" applyFill="1" applyBorder="1" applyAlignment="1">
      <alignment vertical="center" wrapText="1"/>
    </xf>
    <xf numFmtId="0" fontId="15" fillId="2" borderId="1" xfId="0" applyFont="1" applyFill="1" applyBorder="1" applyAlignment="1">
      <alignment vertical="center" wrapText="1"/>
    </xf>
    <xf numFmtId="0" fontId="21" fillId="2" borderId="6" xfId="0" applyFont="1" applyFill="1" applyBorder="1" applyAlignment="1">
      <alignment horizontal="left" vertical="center" wrapText="1"/>
    </xf>
    <xf numFmtId="0" fontId="21" fillId="2" borderId="0" xfId="0" applyFont="1" applyFill="1" applyBorder="1" applyAlignment="1">
      <alignment horizontal="left" vertical="center" wrapText="1"/>
    </xf>
    <xf numFmtId="0" fontId="21" fillId="2" borderId="5" xfId="0" applyFont="1" applyFill="1" applyBorder="1" applyAlignment="1">
      <alignment horizontal="left" vertical="center" wrapText="1"/>
    </xf>
    <xf numFmtId="0" fontId="21" fillId="2" borderId="8" xfId="0" applyFont="1" applyFill="1" applyBorder="1" applyAlignment="1">
      <alignment horizontal="center" vertical="center" wrapText="1"/>
    </xf>
    <xf numFmtId="0" fontId="21" fillId="2" borderId="10" xfId="0" applyFont="1" applyFill="1" applyBorder="1" applyAlignment="1">
      <alignment vertical="center" wrapText="1"/>
    </xf>
    <xf numFmtId="0" fontId="21" fillId="2" borderId="9" xfId="0" applyFont="1" applyFill="1" applyBorder="1" applyAlignment="1">
      <alignment vertical="center" wrapText="1"/>
    </xf>
    <xf numFmtId="0" fontId="21" fillId="2" borderId="6" xfId="0" applyFont="1" applyFill="1" applyBorder="1" applyAlignment="1">
      <alignment horizontal="center" vertical="center" wrapText="1"/>
    </xf>
    <xf numFmtId="0" fontId="21" fillId="2" borderId="0" xfId="0" applyFont="1" applyFill="1" applyBorder="1" applyAlignment="1">
      <alignment vertical="center" wrapText="1"/>
    </xf>
    <xf numFmtId="0" fontId="21" fillId="2" borderId="5" xfId="0" applyFont="1" applyFill="1" applyBorder="1" applyAlignment="1">
      <alignment vertical="center" wrapText="1"/>
    </xf>
    <xf numFmtId="0" fontId="21" fillId="2" borderId="2" xfId="0" applyFont="1" applyFill="1" applyBorder="1" applyAlignment="1">
      <alignment vertical="center" wrapText="1"/>
    </xf>
    <xf numFmtId="0" fontId="21" fillId="2" borderId="7" xfId="0" applyFont="1" applyFill="1" applyBorder="1" applyAlignment="1">
      <alignment vertical="center" wrapText="1"/>
    </xf>
    <xf numFmtId="0" fontId="21" fillId="2" borderId="1" xfId="0" applyFont="1" applyFill="1" applyBorder="1" applyAlignment="1">
      <alignment vertical="center" wrapText="1"/>
    </xf>
    <xf numFmtId="0" fontId="22" fillId="2" borderId="8"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0" fillId="2" borderId="8" xfId="0" applyFont="1" applyFill="1" applyBorder="1" applyAlignment="1">
      <alignment horizontal="left" wrapText="1"/>
    </xf>
    <xf numFmtId="0" fontId="20" fillId="2" borderId="10" xfId="0" applyFont="1" applyFill="1" applyBorder="1" applyAlignment="1">
      <alignment horizontal="left" wrapText="1"/>
    </xf>
    <xf numFmtId="0" fontId="20" fillId="2" borderId="9" xfId="0" applyFont="1" applyFill="1" applyBorder="1" applyAlignment="1">
      <alignment horizontal="left" wrapText="1"/>
    </xf>
    <xf numFmtId="43" fontId="21" fillId="2" borderId="8" xfId="0" applyNumberFormat="1" applyFont="1" applyFill="1" applyBorder="1" applyAlignment="1">
      <alignment horizontal="right" vertical="center"/>
    </xf>
    <xf numFmtId="0" fontId="21" fillId="2" borderId="9" xfId="0" applyFont="1" applyFill="1" applyBorder="1" applyAlignment="1">
      <alignment horizontal="right" vertical="center"/>
    </xf>
    <xf numFmtId="0" fontId="21" fillId="2" borderId="6" xfId="0" applyFont="1" applyFill="1" applyBorder="1" applyAlignment="1">
      <alignment horizontal="right" vertical="center"/>
    </xf>
    <xf numFmtId="0" fontId="21" fillId="2" borderId="5" xfId="0" applyFont="1" applyFill="1" applyBorder="1" applyAlignment="1">
      <alignment horizontal="right" vertical="center"/>
    </xf>
    <xf numFmtId="0" fontId="21" fillId="2" borderId="2" xfId="0" applyFont="1" applyFill="1" applyBorder="1" applyAlignment="1">
      <alignment horizontal="right" vertical="center"/>
    </xf>
    <xf numFmtId="0" fontId="21" fillId="2" borderId="1" xfId="0" applyFont="1" applyFill="1" applyBorder="1" applyAlignment="1">
      <alignment horizontal="right" vertical="center"/>
    </xf>
    <xf numFmtId="0" fontId="20" fillId="2" borderId="8" xfId="0" applyFont="1" applyFill="1" applyBorder="1" applyAlignment="1">
      <alignment horizontal="right" vertical="center"/>
    </xf>
    <xf numFmtId="0" fontId="20" fillId="2" borderId="9" xfId="0" applyFont="1" applyFill="1" applyBorder="1" applyAlignment="1">
      <alignment horizontal="right" vertical="center"/>
    </xf>
    <xf numFmtId="0" fontId="20" fillId="2" borderId="6" xfId="0" applyFont="1" applyFill="1" applyBorder="1" applyAlignment="1">
      <alignment horizontal="right" vertical="center"/>
    </xf>
    <xf numFmtId="0" fontId="20" fillId="2" borderId="5" xfId="0" applyFont="1" applyFill="1" applyBorder="1" applyAlignment="1">
      <alignment horizontal="right" vertical="center"/>
    </xf>
    <xf numFmtId="0" fontId="20" fillId="2" borderId="2" xfId="0" applyFont="1" applyFill="1" applyBorder="1" applyAlignment="1">
      <alignment horizontal="right" vertical="center"/>
    </xf>
    <xf numFmtId="0" fontId="20" fillId="2" borderId="1" xfId="0" applyFont="1" applyFill="1" applyBorder="1" applyAlignment="1">
      <alignment horizontal="right" vertical="center"/>
    </xf>
    <xf numFmtId="0" fontId="21" fillId="2" borderId="13" xfId="0" quotePrefix="1" applyFont="1" applyFill="1" applyBorder="1" applyAlignment="1">
      <alignment horizontal="right" vertical="center" wrapText="1"/>
    </xf>
    <xf numFmtId="0" fontId="21" fillId="2" borderId="15" xfId="0" quotePrefix="1" applyFont="1" applyFill="1" applyBorder="1" applyAlignment="1">
      <alignment horizontal="right" vertical="center" wrapText="1"/>
    </xf>
    <xf numFmtId="0" fontId="21" fillId="2" borderId="14" xfId="0" quotePrefix="1" applyFont="1" applyFill="1" applyBorder="1" applyAlignment="1">
      <alignment horizontal="right" vertical="center" wrapText="1"/>
    </xf>
    <xf numFmtId="0" fontId="20" fillId="2" borderId="3" xfId="0" applyFont="1" applyFill="1" applyBorder="1" applyAlignment="1">
      <alignment horizontal="right" vertical="center" wrapText="1"/>
    </xf>
    <xf numFmtId="0" fontId="20" fillId="2" borderId="32" xfId="0" applyFont="1" applyFill="1" applyBorder="1" applyAlignment="1">
      <alignment horizontal="right" vertical="center" wrapText="1"/>
    </xf>
    <xf numFmtId="0" fontId="20" fillId="2" borderId="4" xfId="0" applyFont="1" applyFill="1" applyBorder="1" applyAlignment="1">
      <alignment horizontal="right" vertical="center" wrapText="1"/>
    </xf>
    <xf numFmtId="0" fontId="20" fillId="2" borderId="8" xfId="0" applyFont="1" applyFill="1" applyBorder="1" applyAlignment="1">
      <alignment horizontal="left" vertical="center" wrapText="1"/>
    </xf>
    <xf numFmtId="0" fontId="20" fillId="2" borderId="10" xfId="0" applyFont="1" applyFill="1" applyBorder="1" applyAlignment="1">
      <alignment horizontal="left" vertical="center" wrapText="1"/>
    </xf>
    <xf numFmtId="0" fontId="20" fillId="2" borderId="9" xfId="0" applyFont="1" applyFill="1" applyBorder="1" applyAlignment="1">
      <alignment horizontal="left" vertical="center" wrapText="1"/>
    </xf>
    <xf numFmtId="0" fontId="20" fillId="2" borderId="6" xfId="0" applyFont="1" applyFill="1" applyBorder="1" applyAlignment="1">
      <alignment horizontal="left" vertical="center" wrapText="1"/>
    </xf>
    <xf numFmtId="0" fontId="20" fillId="2" borderId="0" xfId="0" applyFont="1" applyFill="1" applyBorder="1" applyAlignment="1">
      <alignment horizontal="left" vertical="center" wrapText="1"/>
    </xf>
    <xf numFmtId="0" fontId="20" fillId="2" borderId="5"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7" xfId="0" applyFont="1" applyFill="1" applyBorder="1" applyAlignment="1">
      <alignment horizontal="left" vertical="center" wrapText="1"/>
    </xf>
    <xf numFmtId="0" fontId="20" fillId="2" borderId="1" xfId="0" applyFont="1" applyFill="1" applyBorder="1" applyAlignment="1">
      <alignment horizontal="left" vertical="center" wrapText="1"/>
    </xf>
    <xf numFmtId="168" fontId="58" fillId="0" borderId="12" xfId="0" applyNumberFormat="1" applyFont="1" applyBorder="1" applyAlignment="1">
      <alignment horizontal="center" vertical="center"/>
    </xf>
    <xf numFmtId="0" fontId="21" fillId="2" borderId="3"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3" fillId="2" borderId="7" xfId="0" applyFont="1" applyFill="1" applyBorder="1" applyAlignment="1">
      <alignment horizontal="left" wrapText="1"/>
    </xf>
    <xf numFmtId="0" fontId="23" fillId="2" borderId="1" xfId="0" applyFont="1" applyFill="1" applyBorder="1" applyAlignment="1">
      <alignment horizontal="left" wrapText="1"/>
    </xf>
    <xf numFmtId="0" fontId="20" fillId="2" borderId="7" xfId="0" applyFont="1" applyFill="1" applyBorder="1" applyAlignment="1">
      <alignment horizontal="center"/>
    </xf>
    <xf numFmtId="0" fontId="20" fillId="2" borderId="1" xfId="0" applyFont="1" applyFill="1" applyBorder="1" applyAlignment="1">
      <alignment horizontal="center"/>
    </xf>
    <xf numFmtId="0" fontId="21" fillId="2" borderId="7"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15" xfId="0" applyFont="1" applyFill="1" applyBorder="1" applyAlignment="1">
      <alignment horizontal="center" vertical="center"/>
    </xf>
    <xf numFmtId="0" fontId="21" fillId="2" borderId="14" xfId="0" applyFont="1" applyFill="1" applyBorder="1" applyAlignment="1">
      <alignment horizontal="center" vertical="center"/>
    </xf>
    <xf numFmtId="0" fontId="24" fillId="2" borderId="7"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2" borderId="15" xfId="0" applyFont="1" applyFill="1" applyBorder="1" applyAlignment="1">
      <alignment horizontal="center" vertical="center"/>
    </xf>
    <xf numFmtId="0" fontId="24" fillId="2" borderId="14" xfId="0" applyFont="1" applyFill="1" applyBorder="1" applyAlignment="1">
      <alignment horizontal="center" vertical="center"/>
    </xf>
    <xf numFmtId="0" fontId="25" fillId="2" borderId="15" xfId="0" applyFont="1" applyFill="1" applyBorder="1" applyAlignment="1">
      <alignment horizontal="left" wrapText="1"/>
    </xf>
    <xf numFmtId="0" fontId="25" fillId="2" borderId="14" xfId="0" applyFont="1" applyFill="1" applyBorder="1" applyAlignment="1">
      <alignment horizontal="left" wrapText="1"/>
    </xf>
    <xf numFmtId="0" fontId="20" fillId="2" borderId="15" xfId="0" applyFont="1" applyFill="1" applyBorder="1" applyAlignment="1">
      <alignment horizontal="center"/>
    </xf>
    <xf numFmtId="0" fontId="20" fillId="2" borderId="14" xfId="0" applyFont="1" applyFill="1" applyBorder="1" applyAlignment="1">
      <alignment horizontal="center"/>
    </xf>
    <xf numFmtId="0" fontId="21" fillId="0" borderId="12" xfId="0" applyFont="1" applyBorder="1" applyAlignment="1">
      <alignment horizontal="center" vertical="center"/>
    </xf>
    <xf numFmtId="0" fontId="15" fillId="2" borderId="13" xfId="16" applyFont="1" applyFill="1" applyBorder="1" applyAlignment="1">
      <alignment horizontal="left" vertical="center" wrapText="1"/>
    </xf>
    <xf numFmtId="0" fontId="15" fillId="2" borderId="15" xfId="16" applyFont="1" applyFill="1" applyBorder="1" applyAlignment="1">
      <alignment horizontal="left" vertical="center" wrapText="1"/>
    </xf>
    <xf numFmtId="0" fontId="15" fillId="2" borderId="14" xfId="16" applyFont="1" applyFill="1" applyBorder="1" applyAlignment="1">
      <alignment horizontal="left" vertical="center" wrapText="1"/>
    </xf>
    <xf numFmtId="0" fontId="15" fillId="2" borderId="12" xfId="16" applyFont="1" applyFill="1" applyBorder="1" applyAlignment="1">
      <alignment horizontal="left" vertical="center" wrapText="1"/>
    </xf>
    <xf numFmtId="0" fontId="14" fillId="2" borderId="12" xfId="16" applyFont="1" applyFill="1" applyBorder="1" applyAlignment="1">
      <alignment horizontal="center" vertical="center" wrapText="1"/>
    </xf>
    <xf numFmtId="0" fontId="14" fillId="2" borderId="12" xfId="16" applyFont="1" applyFill="1" applyBorder="1" applyAlignment="1">
      <alignment horizontal="center" wrapText="1"/>
    </xf>
    <xf numFmtId="0" fontId="15" fillId="2" borderId="6" xfId="16" applyFont="1" applyFill="1" applyBorder="1" applyAlignment="1">
      <alignment horizontal="center" vertical="center" wrapText="1"/>
    </xf>
    <xf numFmtId="0" fontId="15" fillId="2" borderId="0" xfId="16" applyFont="1" applyFill="1" applyBorder="1" applyAlignment="1">
      <alignment horizontal="center" vertical="center" wrapText="1"/>
    </xf>
    <xf numFmtId="0" fontId="15" fillId="2" borderId="5" xfId="16" applyFont="1" applyFill="1" applyBorder="1" applyAlignment="1">
      <alignment horizontal="center" vertical="center" wrapText="1"/>
    </xf>
    <xf numFmtId="0" fontId="15" fillId="2" borderId="8" xfId="16" applyFont="1" applyFill="1" applyBorder="1" applyAlignment="1">
      <alignment vertical="center" wrapText="1"/>
    </xf>
    <xf numFmtId="0" fontId="15" fillId="2" borderId="10" xfId="16" applyFont="1" applyFill="1" applyBorder="1" applyAlignment="1">
      <alignment vertical="center" wrapText="1"/>
    </xf>
    <xf numFmtId="0" fontId="15" fillId="2" borderId="9" xfId="16" applyFont="1" applyFill="1" applyBorder="1" applyAlignment="1">
      <alignment vertical="center" wrapText="1"/>
    </xf>
    <xf numFmtId="0" fontId="14" fillId="2" borderId="6" xfId="16" applyFont="1" applyFill="1" applyBorder="1" applyAlignment="1">
      <alignment horizontal="center" vertical="center" wrapText="1"/>
    </xf>
    <xf numFmtId="0" fontId="14" fillId="2" borderId="0" xfId="16" applyFont="1" applyFill="1" applyBorder="1" applyAlignment="1">
      <alignment horizontal="center" vertical="center" wrapText="1"/>
    </xf>
    <xf numFmtId="0" fontId="14" fillId="2" borderId="5" xfId="16" applyFont="1" applyFill="1" applyBorder="1" applyAlignment="1">
      <alignment horizontal="center" vertical="center" wrapText="1"/>
    </xf>
    <xf numFmtId="0" fontId="15" fillId="2" borderId="8" xfId="16" applyFont="1" applyFill="1" applyBorder="1" applyAlignment="1">
      <alignment horizontal="left" vertical="center" wrapText="1"/>
    </xf>
    <xf numFmtId="0" fontId="15" fillId="2" borderId="10" xfId="16" applyFont="1" applyFill="1" applyBorder="1" applyAlignment="1">
      <alignment horizontal="left" vertical="center" wrapText="1"/>
    </xf>
    <xf numFmtId="0" fontId="15" fillId="2" borderId="9" xfId="16" applyFont="1" applyFill="1" applyBorder="1" applyAlignment="1">
      <alignment horizontal="left" vertical="center" wrapText="1"/>
    </xf>
    <xf numFmtId="0" fontId="14" fillId="2" borderId="2" xfId="16" applyFont="1" applyFill="1" applyBorder="1" applyAlignment="1">
      <alignment horizontal="center" vertical="center" wrapText="1"/>
    </xf>
    <xf numFmtId="0" fontId="14" fillId="2" borderId="7" xfId="16" applyFont="1" applyFill="1" applyBorder="1" applyAlignment="1">
      <alignment horizontal="center" vertical="center" wrapText="1"/>
    </xf>
    <xf numFmtId="0" fontId="14" fillId="2" borderId="1" xfId="16" applyFont="1" applyFill="1" applyBorder="1" applyAlignment="1">
      <alignment horizontal="center" vertical="center" wrapText="1"/>
    </xf>
    <xf numFmtId="0" fontId="15" fillId="2" borderId="2" xfId="16" applyFont="1" applyFill="1" applyBorder="1" applyAlignment="1">
      <alignment vertical="center" wrapText="1"/>
    </xf>
    <xf numFmtId="0" fontId="15" fillId="2" borderId="7" xfId="16" applyFont="1" applyFill="1" applyBorder="1" applyAlignment="1">
      <alignment vertical="center" wrapText="1"/>
    </xf>
    <xf numFmtId="0" fontId="15" fillId="2" borderId="1" xfId="16" applyFont="1" applyFill="1" applyBorder="1" applyAlignment="1">
      <alignment vertical="center" wrapText="1"/>
    </xf>
    <xf numFmtId="0" fontId="15" fillId="2" borderId="8" xfId="16" applyFont="1" applyFill="1" applyBorder="1" applyAlignment="1">
      <alignment horizontal="left" wrapText="1"/>
    </xf>
    <xf numFmtId="0" fontId="15" fillId="2" borderId="10" xfId="16" applyFont="1" applyFill="1" applyBorder="1" applyAlignment="1">
      <alignment horizontal="left" wrapText="1"/>
    </xf>
    <xf numFmtId="0" fontId="15" fillId="2" borderId="9" xfId="16" applyFont="1" applyFill="1" applyBorder="1" applyAlignment="1">
      <alignment horizontal="left" wrapText="1"/>
    </xf>
    <xf numFmtId="0" fontId="15" fillId="2" borderId="6" xfId="16" applyFont="1" applyFill="1" applyBorder="1" applyAlignment="1">
      <alignment horizontal="center" vertical="top" wrapText="1"/>
    </xf>
    <xf numFmtId="0" fontId="15" fillId="2" borderId="0" xfId="16" applyFont="1" applyFill="1" applyBorder="1" applyAlignment="1">
      <alignment horizontal="center" vertical="top" wrapText="1"/>
    </xf>
    <xf numFmtId="0" fontId="15" fillId="2" borderId="5" xfId="16" applyFont="1" applyFill="1" applyBorder="1" applyAlignment="1">
      <alignment horizontal="center" vertical="top" wrapText="1"/>
    </xf>
    <xf numFmtId="0" fontId="15" fillId="0" borderId="12" xfId="16" applyFont="1" applyBorder="1" applyAlignment="1">
      <alignment vertical="center" wrapText="1"/>
    </xf>
    <xf numFmtId="0" fontId="15" fillId="0" borderId="12" xfId="16" applyFont="1" applyBorder="1" applyAlignment="1">
      <alignment wrapText="1"/>
    </xf>
    <xf numFmtId="0" fontId="15" fillId="0" borderId="12" xfId="16" applyFont="1" applyBorder="1" applyAlignment="1">
      <alignment horizontal="left"/>
    </xf>
    <xf numFmtId="0" fontId="15" fillId="0" borderId="12" xfId="0" applyNumberFormat="1" applyFont="1" applyBorder="1" applyAlignment="1">
      <alignment horizontal="center" vertical="center" wrapText="1"/>
    </xf>
    <xf numFmtId="0" fontId="14" fillId="0" borderId="12" xfId="16" applyFont="1" applyBorder="1" applyAlignment="1">
      <alignment wrapText="1"/>
    </xf>
    <xf numFmtId="0" fontId="15" fillId="0" borderId="12" xfId="16" applyFont="1" applyBorder="1" applyAlignment="1">
      <alignment horizontal="left" vertical="center"/>
    </xf>
    <xf numFmtId="0" fontId="15" fillId="2" borderId="12" xfId="16" applyFont="1" applyFill="1" applyBorder="1" applyAlignment="1">
      <alignment horizontal="right" vertical="center" wrapText="1"/>
    </xf>
    <xf numFmtId="43" fontId="15" fillId="2" borderId="12" xfId="15" applyFont="1" applyFill="1" applyBorder="1" applyAlignment="1">
      <alignment horizontal="right" vertical="center" wrapText="1"/>
    </xf>
    <xf numFmtId="0" fontId="18" fillId="0" borderId="0" xfId="16" applyFont="1" applyBorder="1" applyAlignment="1">
      <alignment horizontal="left"/>
    </xf>
    <xf numFmtId="0" fontId="14" fillId="2" borderId="7" xfId="16" applyFont="1" applyFill="1" applyBorder="1" applyAlignment="1">
      <alignment horizontal="center"/>
    </xf>
    <xf numFmtId="0" fontId="15" fillId="2" borderId="12" xfId="16" applyFont="1" applyFill="1" applyBorder="1" applyAlignment="1">
      <alignment horizontal="center" vertical="center" wrapText="1"/>
    </xf>
    <xf numFmtId="0" fontId="15" fillId="2" borderId="12" xfId="16" applyFont="1" applyFill="1" applyBorder="1" applyAlignment="1">
      <alignment horizontal="center" wrapText="1"/>
    </xf>
    <xf numFmtId="0" fontId="15" fillId="2" borderId="12" xfId="16" applyFont="1" applyFill="1" applyBorder="1" applyAlignment="1">
      <alignment horizontal="center"/>
    </xf>
    <xf numFmtId="0" fontId="16" fillId="2" borderId="6" xfId="16" applyFont="1" applyFill="1" applyBorder="1" applyAlignment="1">
      <alignment horizontal="center" vertical="center" wrapText="1"/>
    </xf>
    <xf numFmtId="0" fontId="16" fillId="2" borderId="0" xfId="16" applyFont="1" applyFill="1" applyBorder="1" applyAlignment="1">
      <alignment horizontal="center" vertical="center" wrapText="1"/>
    </xf>
    <xf numFmtId="0" fontId="16" fillId="2" borderId="5" xfId="16" applyFont="1" applyFill="1" applyBorder="1" applyAlignment="1">
      <alignment horizontal="center" vertical="center" wrapText="1"/>
    </xf>
    <xf numFmtId="0" fontId="15" fillId="2" borderId="12" xfId="16" applyFont="1" applyFill="1" applyBorder="1" applyAlignment="1">
      <alignment vertical="center" wrapText="1"/>
    </xf>
    <xf numFmtId="0" fontId="14" fillId="2" borderId="6" xfId="16" applyFont="1" applyFill="1" applyBorder="1" applyAlignment="1">
      <alignment wrapText="1"/>
    </xf>
    <xf numFmtId="0" fontId="14" fillId="2" borderId="0" xfId="16" applyFont="1" applyFill="1" applyBorder="1" applyAlignment="1">
      <alignment wrapText="1"/>
    </xf>
    <xf numFmtId="0" fontId="15" fillId="2" borderId="12" xfId="16" applyFont="1" applyFill="1" applyBorder="1" applyAlignment="1">
      <alignment horizontal="center" vertical="center"/>
    </xf>
    <xf numFmtId="0" fontId="14" fillId="2" borderId="5" xfId="16" applyFont="1" applyFill="1" applyBorder="1" applyAlignment="1">
      <alignment wrapText="1"/>
    </xf>
    <xf numFmtId="0" fontId="15" fillId="2" borderId="12" xfId="16" applyFont="1" applyFill="1" applyBorder="1" applyAlignment="1">
      <alignment horizontal="right" vertical="center" indent="1"/>
    </xf>
    <xf numFmtId="0" fontId="14" fillId="2" borderId="12" xfId="16" applyFont="1" applyFill="1" applyBorder="1" applyAlignment="1">
      <alignment wrapText="1"/>
    </xf>
    <xf numFmtId="0" fontId="15" fillId="2" borderId="12" xfId="16" applyFont="1" applyFill="1" applyBorder="1" applyAlignment="1">
      <alignment vertical="justify" wrapText="1"/>
    </xf>
    <xf numFmtId="0" fontId="15" fillId="2" borderId="12" xfId="16" applyFont="1" applyFill="1" applyBorder="1" applyAlignment="1">
      <alignment horizontal="left" vertical="justify" wrapText="1"/>
    </xf>
    <xf numFmtId="0" fontId="15" fillId="2" borderId="12" xfId="16" applyFont="1" applyFill="1" applyBorder="1" applyAlignment="1">
      <alignment horizontal="left" vertical="top" wrapText="1"/>
    </xf>
    <xf numFmtId="0" fontId="17" fillId="2" borderId="12" xfId="16" applyFont="1" applyFill="1" applyBorder="1" applyAlignment="1">
      <alignment horizontal="center" vertical="center" wrapText="1"/>
    </xf>
    <xf numFmtId="0" fontId="17" fillId="2" borderId="12" xfId="16" applyFont="1" applyFill="1" applyBorder="1" applyAlignment="1">
      <alignment vertical="center" wrapText="1"/>
    </xf>
    <xf numFmtId="0" fontId="17" fillId="2" borderId="12" xfId="16" applyFont="1" applyFill="1" applyBorder="1" applyAlignment="1">
      <alignment horizontal="center" vertical="center"/>
    </xf>
    <xf numFmtId="0" fontId="14" fillId="2" borderId="7" xfId="16" applyFont="1" applyFill="1" applyBorder="1" applyAlignment="1">
      <alignment wrapText="1"/>
    </xf>
    <xf numFmtId="0" fontId="17" fillId="0" borderId="0" xfId="16" applyFont="1" applyAlignment="1">
      <alignment horizontal="right" vertical="center" wrapText="1"/>
    </xf>
    <xf numFmtId="0" fontId="15" fillId="2" borderId="12" xfId="16" applyFont="1" applyFill="1" applyBorder="1" applyAlignment="1">
      <alignment wrapText="1"/>
    </xf>
    <xf numFmtId="0" fontId="15" fillId="2" borderId="8" xfId="16" applyFont="1" applyFill="1" applyBorder="1" applyAlignment="1">
      <alignment horizontal="center" vertical="center" wrapText="1"/>
    </xf>
    <xf numFmtId="0" fontId="15" fillId="2" borderId="10" xfId="16" applyFont="1" applyFill="1" applyBorder="1" applyAlignment="1">
      <alignment horizontal="center" vertical="center" wrapText="1"/>
    </xf>
    <xf numFmtId="0" fontId="15" fillId="2" borderId="9" xfId="16" applyFont="1" applyFill="1" applyBorder="1" applyAlignment="1">
      <alignment horizontal="center" vertical="center" wrapText="1"/>
    </xf>
    <xf numFmtId="0" fontId="15" fillId="2" borderId="2" xfId="16" applyFont="1" applyFill="1" applyBorder="1" applyAlignment="1">
      <alignment horizontal="center" vertical="center" wrapText="1"/>
    </xf>
    <xf numFmtId="0" fontId="15" fillId="2" borderId="7" xfId="16" applyFont="1" applyFill="1" applyBorder="1" applyAlignment="1">
      <alignment horizontal="center" vertical="center" wrapText="1"/>
    </xf>
    <xf numFmtId="0" fontId="15" fillId="2" borderId="1" xfId="16" applyFont="1" applyFill="1" applyBorder="1" applyAlignment="1">
      <alignment horizontal="center" vertical="center" wrapText="1"/>
    </xf>
    <xf numFmtId="0" fontId="15" fillId="2" borderId="2" xfId="16" applyFont="1" applyFill="1" applyBorder="1" applyAlignment="1">
      <alignment horizontal="center" vertical="top" wrapText="1"/>
    </xf>
    <xf numFmtId="0" fontId="15" fillId="2" borderId="7" xfId="16" applyFont="1" applyFill="1" applyBorder="1" applyAlignment="1">
      <alignment horizontal="center" vertical="top" wrapText="1"/>
    </xf>
    <xf numFmtId="0" fontId="15" fillId="2" borderId="1" xfId="16" applyFont="1" applyFill="1" applyBorder="1" applyAlignment="1">
      <alignment horizontal="center" vertical="top" wrapText="1"/>
    </xf>
    <xf numFmtId="0" fontId="17" fillId="2" borderId="13" xfId="16" applyFont="1" applyFill="1" applyBorder="1" applyAlignment="1">
      <alignment horizontal="right" vertical="center" wrapText="1"/>
    </xf>
    <xf numFmtId="0" fontId="17" fillId="2" borderId="15" xfId="16" applyFont="1" applyFill="1" applyBorder="1" applyAlignment="1">
      <alignment horizontal="right" vertical="center" wrapText="1"/>
    </xf>
    <xf numFmtId="0" fontId="17" fillId="2" borderId="14" xfId="16" applyFont="1" applyFill="1" applyBorder="1" applyAlignment="1">
      <alignment horizontal="right" vertical="center" wrapText="1"/>
    </xf>
    <xf numFmtId="43" fontId="15" fillId="2" borderId="8" xfId="16" applyNumberFormat="1" applyFont="1" applyFill="1" applyBorder="1" applyAlignment="1">
      <alignment horizontal="left" vertical="center" wrapText="1"/>
    </xf>
    <xf numFmtId="43" fontId="15" fillId="2" borderId="10" xfId="16" applyNumberFormat="1" applyFont="1" applyFill="1" applyBorder="1" applyAlignment="1">
      <alignment horizontal="left" vertical="center" wrapText="1"/>
    </xf>
    <xf numFmtId="43" fontId="15" fillId="2" borderId="9" xfId="16" applyNumberFormat="1" applyFont="1" applyFill="1" applyBorder="1" applyAlignment="1">
      <alignment horizontal="left" vertical="center" wrapText="1"/>
    </xf>
    <xf numFmtId="43" fontId="15" fillId="2" borderId="6" xfId="16" applyNumberFormat="1" applyFont="1" applyFill="1" applyBorder="1" applyAlignment="1">
      <alignment horizontal="left" vertical="center" wrapText="1"/>
    </xf>
    <xf numFmtId="43" fontId="15" fillId="2" borderId="0" xfId="16" applyNumberFormat="1" applyFont="1" applyFill="1" applyBorder="1" applyAlignment="1">
      <alignment horizontal="left" vertical="center" wrapText="1"/>
    </xf>
    <xf numFmtId="43" fontId="15" fillId="2" borderId="5" xfId="16" applyNumberFormat="1" applyFont="1" applyFill="1" applyBorder="1" applyAlignment="1">
      <alignment horizontal="left" vertical="center" wrapText="1"/>
    </xf>
    <xf numFmtId="43" fontId="15" fillId="2" borderId="2" xfId="16" applyNumberFormat="1" applyFont="1" applyFill="1" applyBorder="1" applyAlignment="1">
      <alignment horizontal="left" vertical="center" wrapText="1"/>
    </xf>
    <xf numFmtId="43" fontId="15" fillId="2" borderId="7" xfId="16" applyNumberFormat="1" applyFont="1" applyFill="1" applyBorder="1" applyAlignment="1">
      <alignment horizontal="left" vertical="center" wrapText="1"/>
    </xf>
    <xf numFmtId="43" fontId="15" fillId="2" borderId="1" xfId="16" applyNumberFormat="1" applyFont="1" applyFill="1" applyBorder="1" applyAlignment="1">
      <alignment horizontal="left" vertical="center" wrapText="1"/>
    </xf>
    <xf numFmtId="0" fontId="14" fillId="2" borderId="8" xfId="16" applyFont="1" applyFill="1" applyBorder="1" applyAlignment="1">
      <alignment horizontal="left" vertical="center" wrapText="1"/>
    </xf>
    <xf numFmtId="0" fontId="14" fillId="2" borderId="10" xfId="16" applyFont="1" applyFill="1" applyBorder="1" applyAlignment="1">
      <alignment horizontal="left" vertical="center" wrapText="1"/>
    </xf>
    <xf numFmtId="0" fontId="14" fillId="2" borderId="9" xfId="16" applyFont="1" applyFill="1" applyBorder="1" applyAlignment="1">
      <alignment horizontal="left" vertical="center" wrapText="1"/>
    </xf>
    <xf numFmtId="0" fontId="14" fillId="2" borderId="6" xfId="16" applyFont="1" applyFill="1" applyBorder="1" applyAlignment="1">
      <alignment horizontal="left" vertical="center" wrapText="1"/>
    </xf>
    <xf numFmtId="0" fontId="14" fillId="2" borderId="0" xfId="16" applyFont="1" applyFill="1" applyBorder="1" applyAlignment="1">
      <alignment horizontal="left" vertical="center" wrapText="1"/>
    </xf>
    <xf numFmtId="0" fontId="14" fillId="2" borderId="5" xfId="16" applyFont="1" applyFill="1" applyBorder="1" applyAlignment="1">
      <alignment horizontal="left" vertical="center" wrapText="1"/>
    </xf>
    <xf numFmtId="0" fontId="14" fillId="2" borderId="2" xfId="16" applyFont="1" applyFill="1" applyBorder="1" applyAlignment="1">
      <alignment horizontal="left" vertical="center" wrapText="1"/>
    </xf>
    <xf numFmtId="0" fontId="14" fillId="2" borderId="7" xfId="16" applyFont="1" applyFill="1" applyBorder="1" applyAlignment="1">
      <alignment horizontal="left" vertical="center" wrapText="1"/>
    </xf>
    <xf numFmtId="0" fontId="14" fillId="2" borderId="1" xfId="16" applyFont="1" applyFill="1" applyBorder="1" applyAlignment="1">
      <alignment horizontal="left" vertical="center" wrapText="1"/>
    </xf>
    <xf numFmtId="0" fontId="15" fillId="0" borderId="12" xfId="16" applyFont="1" applyBorder="1" applyAlignment="1">
      <alignment horizontal="left" vertical="center" wrapText="1"/>
    </xf>
    <xf numFmtId="0" fontId="15" fillId="0" borderId="3" xfId="16" applyFont="1" applyBorder="1" applyAlignment="1">
      <alignment horizontal="left" vertical="center" wrapText="1"/>
    </xf>
    <xf numFmtId="49" fontId="15" fillId="2" borderId="13" xfId="16" applyNumberFormat="1" applyFont="1" applyFill="1" applyBorder="1" applyAlignment="1">
      <alignment horizontal="center" vertical="center" wrapText="1"/>
    </xf>
    <xf numFmtId="49" fontId="15" fillId="2" borderId="15" xfId="16" applyNumberFormat="1" applyFont="1" applyFill="1" applyBorder="1" applyAlignment="1">
      <alignment horizontal="center" vertical="center" wrapText="1"/>
    </xf>
    <xf numFmtId="49" fontId="15" fillId="2" borderId="15" xfId="16" applyNumberFormat="1" applyFont="1" applyFill="1" applyBorder="1" applyAlignment="1">
      <alignment horizontal="center"/>
    </xf>
    <xf numFmtId="49" fontId="15" fillId="2" borderId="14" xfId="16" applyNumberFormat="1" applyFont="1" applyFill="1" applyBorder="1" applyAlignment="1">
      <alignment horizontal="center"/>
    </xf>
    <xf numFmtId="49" fontId="15" fillId="2" borderId="14" xfId="16" applyNumberFormat="1" applyFont="1" applyFill="1" applyBorder="1" applyAlignment="1">
      <alignment horizontal="center" vertical="center" wrapText="1"/>
    </xf>
    <xf numFmtId="0" fontId="14" fillId="2" borderId="8" xfId="16" applyFont="1" applyFill="1" applyBorder="1" applyAlignment="1">
      <alignment horizontal="center" wrapText="1"/>
    </xf>
    <xf numFmtId="0" fontId="14" fillId="2" borderId="10" xfId="16" applyFont="1" applyFill="1" applyBorder="1" applyAlignment="1">
      <alignment wrapText="1"/>
    </xf>
    <xf numFmtId="0" fontId="14" fillId="2" borderId="9" xfId="16" applyFont="1" applyFill="1" applyBorder="1" applyAlignment="1">
      <alignment wrapText="1"/>
    </xf>
    <xf numFmtId="49" fontId="48" fillId="2" borderId="6" xfId="19" applyNumberFormat="1" applyFont="1" applyFill="1" applyBorder="1" applyAlignment="1">
      <alignment horizontal="center"/>
    </xf>
    <xf numFmtId="49" fontId="56" fillId="2" borderId="0" xfId="19" applyNumberFormat="1" applyFont="1" applyFill="1" applyBorder="1" applyAlignment="1"/>
    <xf numFmtId="49" fontId="55" fillId="2" borderId="22" xfId="19" applyNumberFormat="1" applyFont="1" applyFill="1" applyBorder="1" applyAlignment="1"/>
    <xf numFmtId="0" fontId="48" fillId="2" borderId="21" xfId="19" applyFont="1" applyFill="1" applyBorder="1" applyAlignment="1">
      <alignment horizontal="center"/>
    </xf>
    <xf numFmtId="0" fontId="56" fillId="2" borderId="0" xfId="19" applyFont="1" applyFill="1" applyBorder="1" applyAlignment="1"/>
    <xf numFmtId="0" fontId="55" fillId="2" borderId="5" xfId="19" applyFont="1" applyFill="1" applyBorder="1" applyAlignment="1"/>
    <xf numFmtId="0" fontId="36" fillId="2" borderId="21" xfId="19" applyFont="1" applyFill="1" applyBorder="1" applyAlignment="1">
      <alignment horizontal="center"/>
    </xf>
    <xf numFmtId="0" fontId="27" fillId="2" borderId="0" xfId="19" applyFill="1" applyBorder="1" applyAlignment="1"/>
    <xf numFmtId="0" fontId="2" fillId="2" borderId="5" xfId="19" applyFont="1" applyFill="1" applyBorder="1" applyAlignment="1"/>
    <xf numFmtId="0" fontId="46" fillId="2" borderId="21" xfId="19" applyFont="1" applyFill="1" applyBorder="1" applyAlignment="1">
      <alignment horizontal="center"/>
    </xf>
    <xf numFmtId="0" fontId="39" fillId="2" borderId="0" xfId="19" applyFont="1" applyFill="1" applyBorder="1" applyAlignment="1"/>
    <xf numFmtId="0" fontId="40" fillId="2" borderId="5" xfId="19" applyFont="1" applyFill="1" applyBorder="1" applyAlignment="1"/>
    <xf numFmtId="0" fontId="48" fillId="2" borderId="25" xfId="19" applyFont="1" applyFill="1" applyBorder="1" applyAlignment="1">
      <alignment horizontal="center" vertical="top"/>
    </xf>
    <xf numFmtId="0" fontId="55" fillId="2" borderId="26" xfId="19" applyFont="1" applyFill="1" applyBorder="1" applyAlignment="1">
      <alignment vertical="top"/>
    </xf>
    <xf numFmtId="0" fontId="55" fillId="2" borderId="33" xfId="19" applyFont="1" applyFill="1" applyBorder="1" applyAlignment="1">
      <alignment vertical="top"/>
    </xf>
    <xf numFmtId="0" fontId="46" fillId="2" borderId="6" xfId="19" applyFont="1" applyFill="1" applyBorder="1" applyAlignment="1">
      <alignment horizontal="center"/>
    </xf>
    <xf numFmtId="0" fontId="40" fillId="2" borderId="22" xfId="19" applyFont="1" applyFill="1" applyBorder="1" applyAlignment="1"/>
    <xf numFmtId="0" fontId="34" fillId="2" borderId="8" xfId="19" applyFont="1" applyFill="1" applyBorder="1" applyAlignment="1">
      <alignment horizontal="left" vertical="top" wrapText="1"/>
    </xf>
    <xf numFmtId="0" fontId="34" fillId="2" borderId="10" xfId="19" applyFont="1" applyFill="1" applyBorder="1" applyAlignment="1">
      <alignment horizontal="left" vertical="top" wrapText="1"/>
    </xf>
    <xf numFmtId="0" fontId="34" fillId="2" borderId="37" xfId="19" applyFont="1" applyFill="1" applyBorder="1" applyAlignment="1">
      <alignment horizontal="left" vertical="top" wrapText="1"/>
    </xf>
    <xf numFmtId="0" fontId="34" fillId="2" borderId="6" xfId="19" applyFont="1" applyFill="1" applyBorder="1" applyAlignment="1">
      <alignment horizontal="left" vertical="top" wrapText="1"/>
    </xf>
    <xf numFmtId="0" fontId="34" fillId="2" borderId="0" xfId="19" applyFont="1" applyFill="1" applyBorder="1" applyAlignment="1">
      <alignment horizontal="left" vertical="top" wrapText="1"/>
    </xf>
    <xf numFmtId="0" fontId="34" fillId="2" borderId="22" xfId="19" applyFont="1" applyFill="1" applyBorder="1" applyAlignment="1">
      <alignment horizontal="left" vertical="top" wrapText="1"/>
    </xf>
    <xf numFmtId="14" fontId="8" fillId="0" borderId="12" xfId="19" quotePrefix="1" applyNumberFormat="1" applyFont="1" applyBorder="1" applyAlignment="1">
      <alignment horizontal="center" vertical="center" wrapText="1"/>
    </xf>
    <xf numFmtId="14" fontId="13" fillId="0" borderId="12" xfId="19" applyNumberFormat="1" applyFont="1" applyBorder="1" applyAlignment="1">
      <alignment horizontal="right" vertical="center"/>
    </xf>
    <xf numFmtId="0" fontId="11" fillId="0" borderId="13" xfId="19" applyFont="1" applyBorder="1" applyAlignment="1">
      <alignment horizontal="center" vertical="center" wrapText="1"/>
    </xf>
    <xf numFmtId="0" fontId="11" fillId="0" borderId="14" xfId="19" applyFont="1" applyBorder="1" applyAlignment="1">
      <alignment horizontal="center" vertical="center" wrapText="1"/>
    </xf>
    <xf numFmtId="43" fontId="6" fillId="2" borderId="0" xfId="19" applyNumberFormat="1" applyFont="1" applyFill="1" applyBorder="1" applyAlignment="1">
      <alignment horizontal="center"/>
    </xf>
    <xf numFmtId="0" fontId="2" fillId="2" borderId="0" xfId="19" applyFont="1" applyFill="1" applyBorder="1" applyAlignment="1"/>
    <xf numFmtId="0" fontId="11" fillId="0" borderId="12" xfId="19" applyFont="1" applyBorder="1" applyAlignment="1">
      <alignment horizontal="left" vertical="center" wrapText="1"/>
    </xf>
    <xf numFmtId="0" fontId="44" fillId="0" borderId="12" xfId="19" applyFont="1" applyBorder="1" applyAlignment="1"/>
    <xf numFmtId="0" fontId="11" fillId="3" borderId="12" xfId="19" applyFont="1" applyFill="1" applyBorder="1" applyAlignment="1">
      <alignment horizontal="left" vertical="center" wrapText="1"/>
    </xf>
    <xf numFmtId="0" fontId="44" fillId="3" borderId="12" xfId="19" applyFont="1" applyFill="1" applyBorder="1" applyAlignment="1"/>
    <xf numFmtId="0" fontId="11" fillId="3" borderId="13" xfId="19" applyFont="1" applyFill="1" applyBorder="1" applyAlignment="1">
      <alignment horizontal="center" vertical="center" wrapText="1"/>
    </xf>
    <xf numFmtId="0" fontId="11" fillId="3" borderId="14" xfId="19" applyFont="1" applyFill="1" applyBorder="1" applyAlignment="1">
      <alignment horizontal="center" vertical="center" wrapText="1"/>
    </xf>
    <xf numFmtId="166" fontId="32" fillId="2" borderId="27" xfId="19" applyNumberFormat="1" applyFont="1" applyFill="1" applyBorder="1" applyAlignment="1">
      <alignment horizontal="center" vertical="center" wrapText="1"/>
    </xf>
    <xf numFmtId="0" fontId="40" fillId="2" borderId="30" xfId="19" applyFont="1" applyFill="1" applyBorder="1" applyAlignment="1">
      <alignment vertical="center"/>
    </xf>
    <xf numFmtId="0" fontId="32" fillId="2" borderId="21" xfId="19" applyFont="1" applyFill="1" applyBorder="1" applyAlignment="1">
      <alignment horizontal="center" vertical="center" wrapText="1"/>
    </xf>
    <xf numFmtId="0" fontId="40" fillId="2" borderId="22" xfId="19" applyFont="1" applyFill="1" applyBorder="1" applyAlignment="1">
      <alignment horizontal="center" vertical="center"/>
    </xf>
    <xf numFmtId="0" fontId="11" fillId="2" borderId="16" xfId="19" applyFont="1" applyFill="1" applyBorder="1" applyAlignment="1">
      <alignment horizontal="left" vertical="center" wrapText="1"/>
    </xf>
    <xf numFmtId="0" fontId="44" fillId="2" borderId="17" xfId="19" applyFont="1" applyFill="1" applyBorder="1" applyAlignment="1"/>
    <xf numFmtId="0" fontId="41" fillId="2" borderId="7" xfId="19" applyFont="1" applyFill="1" applyBorder="1" applyAlignment="1">
      <alignment horizontal="left" vertical="center" wrapText="1"/>
    </xf>
    <xf numFmtId="0" fontId="57" fillId="2" borderId="15" xfId="19" applyFont="1" applyFill="1" applyBorder="1" applyAlignment="1">
      <alignment horizontal="left" vertical="center" wrapText="1"/>
    </xf>
    <xf numFmtId="0" fontId="57" fillId="2" borderId="41" xfId="19" applyFont="1" applyFill="1" applyBorder="1" applyAlignment="1">
      <alignment horizontal="left" vertical="center" wrapText="1"/>
    </xf>
    <xf numFmtId="0" fontId="7" fillId="2" borderId="40" xfId="19" applyFont="1" applyFill="1" applyBorder="1" applyAlignment="1">
      <alignment vertical="center"/>
    </xf>
    <xf numFmtId="0" fontId="40" fillId="2" borderId="40" xfId="19" applyFont="1" applyFill="1" applyBorder="1" applyAlignment="1">
      <alignment vertical="center"/>
    </xf>
    <xf numFmtId="0" fontId="40" fillId="2" borderId="39" xfId="19" applyFont="1" applyFill="1" applyBorder="1" applyAlignment="1">
      <alignment vertical="center"/>
    </xf>
    <xf numFmtId="0" fontId="7" fillId="2" borderId="15" xfId="19" applyFont="1" applyFill="1" applyBorder="1" applyAlignment="1">
      <alignment vertical="center"/>
    </xf>
    <xf numFmtId="0" fontId="40" fillId="2" borderId="15" xfId="19" applyFont="1" applyFill="1" applyBorder="1" applyAlignment="1">
      <alignment vertical="center"/>
    </xf>
    <xf numFmtId="0" fontId="40" fillId="2" borderId="41" xfId="19" applyFont="1" applyFill="1" applyBorder="1" applyAlignment="1">
      <alignment vertical="center"/>
    </xf>
    <xf numFmtId="0" fontId="7" fillId="2" borderId="23" xfId="19" applyFont="1" applyFill="1" applyBorder="1" applyAlignment="1">
      <alignment vertical="center"/>
    </xf>
    <xf numFmtId="0" fontId="40" fillId="2" borderId="23" xfId="19" applyFont="1" applyFill="1" applyBorder="1" applyAlignment="1">
      <alignment vertical="center"/>
    </xf>
    <xf numFmtId="0" fontId="40" fillId="2" borderId="24" xfId="19" applyFont="1" applyFill="1" applyBorder="1" applyAlignment="1">
      <alignment vertical="center"/>
    </xf>
    <xf numFmtId="0" fontId="41" fillId="2" borderId="15" xfId="19" applyFont="1" applyFill="1" applyBorder="1" applyAlignment="1">
      <alignment horizontal="left" vertical="center" wrapText="1"/>
    </xf>
    <xf numFmtId="0" fontId="32" fillId="2" borderId="40" xfId="19" quotePrefix="1" applyFont="1" applyFill="1" applyBorder="1" applyAlignment="1">
      <alignment horizontal="left" vertical="center" wrapText="1"/>
    </xf>
    <xf numFmtId="0" fontId="32" fillId="2" borderId="39" xfId="19" quotePrefix="1" applyFont="1" applyFill="1" applyBorder="1" applyAlignment="1">
      <alignment horizontal="left" vertical="center" wrapText="1"/>
    </xf>
    <xf numFmtId="0" fontId="63" fillId="2" borderId="7" xfId="19" applyFont="1" applyFill="1" applyBorder="1" applyAlignment="1">
      <alignment horizontal="left" vertical="center"/>
    </xf>
    <xf numFmtId="0" fontId="7" fillId="2" borderId="27" xfId="19" applyFont="1" applyFill="1" applyBorder="1" applyAlignment="1">
      <alignment horizontal="center" vertical="center"/>
    </xf>
    <xf numFmtId="0" fontId="40" fillId="2" borderId="31" xfId="19" applyFont="1" applyFill="1" applyBorder="1" applyAlignment="1">
      <alignment vertical="center"/>
    </xf>
    <xf numFmtId="0" fontId="32" fillId="2" borderId="18" xfId="19" applyFont="1" applyFill="1" applyBorder="1" applyAlignment="1">
      <alignment horizontal="center" vertical="center" wrapText="1"/>
    </xf>
    <xf numFmtId="0" fontId="40" fillId="2" borderId="19" xfId="19" applyFont="1" applyFill="1" applyBorder="1" applyAlignment="1">
      <alignment vertical="center"/>
    </xf>
    <xf numFmtId="0" fontId="32" fillId="2" borderId="28" xfId="19" applyFont="1" applyFill="1" applyBorder="1" applyAlignment="1">
      <alignment horizontal="center" vertical="center"/>
    </xf>
    <xf numFmtId="0" fontId="40" fillId="2" borderId="29" xfId="19" applyFont="1" applyFill="1" applyBorder="1" applyAlignment="1">
      <alignment vertical="center"/>
    </xf>
    <xf numFmtId="166" fontId="32" fillId="2" borderId="18" xfId="19" applyNumberFormat="1" applyFont="1" applyFill="1" applyBorder="1" applyAlignment="1">
      <alignment horizontal="center" vertical="center" wrapText="1"/>
    </xf>
    <xf numFmtId="0" fontId="40" fillId="2" borderId="21" xfId="19" applyFont="1" applyFill="1" applyBorder="1" applyAlignment="1">
      <alignment vertical="center"/>
    </xf>
    <xf numFmtId="43" fontId="32" fillId="2" borderId="18" xfId="19" applyNumberFormat="1" applyFont="1" applyFill="1" applyBorder="1" applyAlignment="1">
      <alignment horizontal="center" vertical="center"/>
    </xf>
    <xf numFmtId="43" fontId="40" fillId="2" borderId="21" xfId="19" applyNumberFormat="1" applyFont="1" applyFill="1" applyBorder="1" applyAlignment="1">
      <alignment vertical="center"/>
    </xf>
    <xf numFmtId="0" fontId="50" fillId="2" borderId="0" xfId="19" applyFont="1" applyFill="1" applyAlignment="1">
      <alignment horizontal="center" vertical="center"/>
    </xf>
    <xf numFmtId="0" fontId="51" fillId="2" borderId="0" xfId="19" applyFont="1" applyFill="1" applyAlignment="1">
      <alignment vertical="center"/>
    </xf>
    <xf numFmtId="0" fontId="12" fillId="2" borderId="0" xfId="19" applyFont="1" applyFill="1" applyAlignment="1">
      <alignment horizontal="center" vertical="center"/>
    </xf>
    <xf numFmtId="0" fontId="49" fillId="2" borderId="0" xfId="19" applyFont="1" applyFill="1" applyAlignment="1">
      <alignment vertical="center"/>
    </xf>
    <xf numFmtId="0" fontId="10" fillId="2" borderId="0" xfId="19" applyFont="1" applyFill="1" applyAlignment="1">
      <alignment horizontal="center" vertical="center"/>
    </xf>
    <xf numFmtId="166" fontId="64" fillId="2" borderId="0" xfId="19" applyNumberFormat="1" applyFont="1" applyFill="1" applyAlignment="1">
      <alignment horizontal="right" vertical="center"/>
    </xf>
    <xf numFmtId="0" fontId="63" fillId="2" borderId="0" xfId="19" applyFont="1" applyFill="1" applyAlignment="1"/>
    <xf numFmtId="0" fontId="52" fillId="2" borderId="0" xfId="0" applyFont="1" applyFill="1" applyAlignment="1">
      <alignment horizontal="right" vertical="center" wrapText="1"/>
    </xf>
    <xf numFmtId="0" fontId="35" fillId="2" borderId="0" xfId="0" applyFont="1" applyFill="1" applyAlignment="1">
      <alignment horizontal="left" vertical="center" wrapText="1"/>
    </xf>
    <xf numFmtId="0" fontId="34" fillId="2" borderId="0" xfId="0" applyFont="1" applyFill="1" applyAlignment="1">
      <alignment horizontal="center" vertical="center" wrapText="1"/>
    </xf>
    <xf numFmtId="0" fontId="36" fillId="2" borderId="0" xfId="0" applyFont="1" applyFill="1" applyAlignment="1">
      <alignment horizontal="right" vertical="center" wrapText="1"/>
    </xf>
    <xf numFmtId="0" fontId="31" fillId="2" borderId="0" xfId="0" applyFont="1" applyFill="1" applyAlignment="1">
      <alignment horizontal="right" vertical="center" wrapText="1"/>
    </xf>
    <xf numFmtId="0" fontId="34" fillId="2" borderId="0" xfId="0" applyFont="1" applyFill="1" applyAlignment="1">
      <alignment horizontal="right" vertical="center" wrapText="1"/>
    </xf>
    <xf numFmtId="0" fontId="36" fillId="2" borderId="0" xfId="0" applyFont="1" applyFill="1" applyAlignment="1">
      <alignment horizontal="right" wrapText="1"/>
    </xf>
    <xf numFmtId="0" fontId="60" fillId="2" borderId="0" xfId="0" applyFont="1" applyFill="1" applyAlignment="1">
      <alignment horizontal="left" vertical="center" wrapText="1"/>
    </xf>
    <xf numFmtId="0" fontId="33" fillId="2" borderId="7" xfId="0" applyFont="1" applyFill="1" applyBorder="1" applyAlignment="1">
      <alignment horizontal="left" vertical="center" wrapText="1"/>
    </xf>
    <xf numFmtId="0" fontId="31" fillId="2" borderId="0" xfId="0" applyFont="1" applyFill="1" applyAlignment="1">
      <alignment horizontal="center" vertical="center" wrapText="1"/>
    </xf>
    <xf numFmtId="0" fontId="54" fillId="2" borderId="0" xfId="0" applyFont="1" applyFill="1" applyAlignment="1">
      <alignment horizontal="left"/>
    </xf>
    <xf numFmtId="0" fontId="53" fillId="0" borderId="12" xfId="0" applyFont="1" applyBorder="1" applyAlignment="1">
      <alignment horizontal="center"/>
    </xf>
    <xf numFmtId="0" fontId="52" fillId="0" borderId="12" xfId="0" applyFont="1" applyBorder="1" applyAlignment="1">
      <alignment horizontal="center" vertical="center"/>
    </xf>
    <xf numFmtId="0" fontId="60" fillId="0" borderId="12" xfId="0" applyFont="1" applyBorder="1" applyAlignment="1">
      <alignment horizontal="center" vertical="center"/>
    </xf>
    <xf numFmtId="0" fontId="60" fillId="2" borderId="0" xfId="0" applyFont="1" applyFill="1" applyAlignment="1">
      <alignment horizontal="left"/>
    </xf>
    <xf numFmtId="0" fontId="60" fillId="2" borderId="7" xfId="0" applyFont="1" applyFill="1" applyBorder="1" applyAlignment="1">
      <alignment horizontal="left" vertical="center" wrapText="1"/>
    </xf>
    <xf numFmtId="0" fontId="53" fillId="2" borderId="0" xfId="0" applyFont="1" applyFill="1" applyAlignment="1">
      <alignment horizontal="left"/>
    </xf>
    <xf numFmtId="0" fontId="53" fillId="2" borderId="0" xfId="0" applyFont="1" applyFill="1" applyBorder="1" applyAlignment="1">
      <alignment horizontal="left"/>
    </xf>
    <xf numFmtId="0" fontId="54" fillId="2" borderId="7" xfId="0" applyFont="1" applyFill="1" applyBorder="1" applyAlignment="1">
      <alignment horizontal="left" vertical="center" wrapText="1"/>
    </xf>
    <xf numFmtId="0" fontId="54" fillId="2" borderId="15" xfId="0" applyFont="1" applyFill="1" applyBorder="1" applyAlignment="1">
      <alignment horizontal="left" vertical="center" wrapText="1"/>
    </xf>
    <xf numFmtId="0" fontId="65" fillId="2" borderId="13" xfId="20" applyFont="1" applyFill="1" applyBorder="1" applyAlignment="1">
      <alignment horizontal="center" vertical="center"/>
    </xf>
    <xf numFmtId="0" fontId="65" fillId="2" borderId="14" xfId="20" applyFont="1" applyFill="1" applyBorder="1" applyAlignment="1">
      <alignment horizontal="center" vertical="center"/>
    </xf>
    <xf numFmtId="0" fontId="65" fillId="3" borderId="12" xfId="20" applyFont="1" applyFill="1" applyBorder="1" applyAlignment="1">
      <alignment horizontal="center" vertical="center"/>
    </xf>
    <xf numFmtId="164" fontId="65" fillId="3" borderId="12" xfId="21" applyFont="1" applyFill="1" applyBorder="1" applyAlignment="1">
      <alignment horizontal="left" vertical="center"/>
    </xf>
    <xf numFmtId="164" fontId="65" fillId="2" borderId="12" xfId="21" applyFont="1" applyFill="1" applyBorder="1" applyAlignment="1">
      <alignment horizontal="left" vertical="center"/>
    </xf>
    <xf numFmtId="0" fontId="65" fillId="2" borderId="12" xfId="20" applyFont="1" applyFill="1" applyBorder="1" applyAlignment="1">
      <alignment horizontal="left" vertical="center"/>
    </xf>
    <xf numFmtId="164" fontId="65" fillId="2" borderId="13" xfId="21" applyFont="1" applyFill="1" applyBorder="1" applyAlignment="1">
      <alignment horizontal="left" vertical="center"/>
    </xf>
    <xf numFmtId="164" fontId="65" fillId="2" borderId="15" xfId="21" applyFont="1" applyFill="1" applyBorder="1" applyAlignment="1">
      <alignment horizontal="left" vertical="center"/>
    </xf>
    <xf numFmtId="164" fontId="65" fillId="2" borderId="14" xfId="21" applyFont="1" applyFill="1" applyBorder="1" applyAlignment="1">
      <alignment horizontal="left" vertical="center"/>
    </xf>
    <xf numFmtId="0" fontId="65" fillId="2" borderId="12" xfId="20" applyFont="1" applyFill="1" applyBorder="1" applyAlignment="1">
      <alignment horizontal="center" vertical="center"/>
    </xf>
    <xf numFmtId="49" fontId="65" fillId="2" borderId="12" xfId="20" applyNumberFormat="1" applyFont="1" applyFill="1" applyBorder="1" applyAlignment="1">
      <alignment horizontal="center" vertical="center"/>
    </xf>
    <xf numFmtId="0" fontId="65" fillId="3" borderId="12" xfId="20" applyFont="1" applyFill="1" applyBorder="1" applyAlignment="1">
      <alignment horizontal="left" vertical="center"/>
    </xf>
    <xf numFmtId="0" fontId="65" fillId="2" borderId="13" xfId="20" applyFont="1" applyFill="1" applyBorder="1" applyAlignment="1">
      <alignment horizontal="left" vertical="center"/>
    </xf>
    <xf numFmtId="0" fontId="65" fillId="2" borderId="15" xfId="20" applyFont="1" applyFill="1" applyBorder="1" applyAlignment="1">
      <alignment horizontal="left" vertical="center"/>
    </xf>
    <xf numFmtId="0" fontId="65" fillId="2" borderId="14" xfId="20" applyFont="1" applyFill="1" applyBorder="1" applyAlignment="1">
      <alignment horizontal="left" vertical="center"/>
    </xf>
    <xf numFmtId="0" fontId="66" fillId="2" borderId="6" xfId="20" applyFont="1" applyFill="1" applyBorder="1" applyAlignment="1">
      <alignment horizontal="center" vertical="center"/>
    </xf>
    <xf numFmtId="0" fontId="66" fillId="2" borderId="0" xfId="20" applyFont="1" applyFill="1" applyBorder="1" applyAlignment="1">
      <alignment horizontal="center" vertical="center"/>
    </xf>
    <xf numFmtId="0" fontId="66" fillId="2" borderId="5" xfId="20" applyFont="1" applyFill="1" applyBorder="1" applyAlignment="1">
      <alignment horizontal="center" vertical="center"/>
    </xf>
    <xf numFmtId="0" fontId="69" fillId="2" borderId="6" xfId="20" applyFont="1" applyFill="1" applyBorder="1" applyAlignment="1">
      <alignment horizontal="center" vertical="center"/>
    </xf>
    <xf numFmtId="0" fontId="65" fillId="2" borderId="0" xfId="20" applyFont="1" applyFill="1" applyBorder="1" applyAlignment="1">
      <alignment horizontal="center" vertical="center"/>
    </xf>
    <xf numFmtId="0" fontId="65" fillId="2" borderId="5" xfId="20" applyFont="1" applyFill="1" applyBorder="1" applyAlignment="1">
      <alignment horizontal="center" vertical="center"/>
    </xf>
    <xf numFmtId="0" fontId="65" fillId="2" borderId="2" xfId="20" applyFont="1" applyFill="1" applyBorder="1" applyAlignment="1">
      <alignment horizontal="center" vertical="center"/>
    </xf>
    <xf numFmtId="0" fontId="65" fillId="2" borderId="7" xfId="20" applyFont="1" applyFill="1" applyBorder="1" applyAlignment="1">
      <alignment horizontal="center" vertical="center"/>
    </xf>
    <xf numFmtId="0" fontId="65" fillId="2" borderId="1" xfId="20" applyFont="1" applyFill="1" applyBorder="1" applyAlignment="1">
      <alignment horizontal="center" vertical="center"/>
    </xf>
    <xf numFmtId="0" fontId="66" fillId="2" borderId="12" xfId="20" applyFont="1" applyFill="1" applyBorder="1" applyAlignment="1">
      <alignment horizontal="left" vertical="center"/>
    </xf>
    <xf numFmtId="0" fontId="65" fillId="2" borderId="6" xfId="20" applyFont="1" applyFill="1" applyBorder="1" applyAlignment="1">
      <alignment horizontal="center" vertical="center"/>
    </xf>
    <xf numFmtId="0" fontId="66" fillId="2" borderId="4" xfId="20" applyFont="1" applyFill="1" applyBorder="1" applyAlignment="1">
      <alignment horizontal="center" vertical="center"/>
    </xf>
    <xf numFmtId="0" fontId="66" fillId="2" borderId="4" xfId="20" applyFont="1" applyFill="1" applyBorder="1" applyAlignment="1">
      <alignment horizontal="center" vertical="center" wrapText="1"/>
    </xf>
    <xf numFmtId="0" fontId="66" fillId="2" borderId="15" xfId="20" applyFont="1" applyFill="1" applyBorder="1" applyAlignment="1">
      <alignment horizontal="center"/>
    </xf>
    <xf numFmtId="164" fontId="65" fillId="3" borderId="12" xfId="21" applyFont="1" applyFill="1" applyBorder="1" applyAlignment="1">
      <alignment horizontal="center" vertical="center"/>
    </xf>
    <xf numFmtId="0" fontId="65" fillId="2" borderId="12" xfId="20" applyFont="1" applyFill="1" applyBorder="1" applyAlignment="1">
      <alignment horizontal="left" vertical="center" wrapText="1"/>
    </xf>
    <xf numFmtId="164" fontId="65" fillId="2" borderId="12" xfId="21" applyFont="1" applyFill="1" applyBorder="1" applyAlignment="1">
      <alignment horizontal="center" vertical="center"/>
    </xf>
    <xf numFmtId="0" fontId="65" fillId="3" borderId="12" xfId="20" applyFont="1" applyFill="1" applyBorder="1" applyAlignment="1">
      <alignment horizontal="left" vertical="center" wrapText="1"/>
    </xf>
    <xf numFmtId="0" fontId="65" fillId="2" borderId="15" xfId="20" applyFont="1" applyFill="1" applyBorder="1" applyAlignment="1">
      <alignment horizontal="center" vertical="center"/>
    </xf>
    <xf numFmtId="164" fontId="65" fillId="2" borderId="13" xfId="21" applyFont="1" applyFill="1" applyBorder="1" applyAlignment="1">
      <alignment horizontal="center" vertical="center"/>
    </xf>
    <xf numFmtId="164" fontId="65" fillId="2" borderId="15" xfId="21" applyFont="1" applyFill="1" applyBorder="1" applyAlignment="1">
      <alignment horizontal="center" vertical="center"/>
    </xf>
    <xf numFmtId="164" fontId="65" fillId="2" borderId="14" xfId="21" applyFont="1" applyFill="1" applyBorder="1" applyAlignment="1">
      <alignment horizontal="center" vertical="center"/>
    </xf>
    <xf numFmtId="0" fontId="66" fillId="2" borderId="12" xfId="20" applyFont="1" applyFill="1" applyBorder="1" applyAlignment="1">
      <alignment horizontal="right"/>
    </xf>
    <xf numFmtId="164" fontId="66" fillId="2" borderId="12" xfId="21" applyFont="1" applyFill="1" applyBorder="1" applyAlignment="1">
      <alignment horizontal="center"/>
    </xf>
    <xf numFmtId="49" fontId="65" fillId="2" borderId="13" xfId="20" applyNumberFormat="1" applyFont="1" applyFill="1" applyBorder="1" applyAlignment="1">
      <alignment horizontal="center" vertical="center"/>
    </xf>
    <xf numFmtId="49" fontId="65" fillId="2" borderId="14" xfId="20" applyNumberFormat="1" applyFont="1" applyFill="1" applyBorder="1" applyAlignment="1">
      <alignment horizontal="center" vertical="center"/>
    </xf>
    <xf numFmtId="0" fontId="65" fillId="3" borderId="13" xfId="20" applyFont="1" applyFill="1" applyBorder="1" applyAlignment="1">
      <alignment horizontal="center" vertical="center"/>
    </xf>
    <xf numFmtId="0" fontId="65" fillId="3" borderId="15" xfId="20" applyFont="1" applyFill="1" applyBorder="1" applyAlignment="1">
      <alignment horizontal="center" vertical="center"/>
    </xf>
    <xf numFmtId="0" fontId="65" fillId="3" borderId="14" xfId="20" applyFont="1" applyFill="1" applyBorder="1" applyAlignment="1">
      <alignment horizontal="center" vertical="center"/>
    </xf>
    <xf numFmtId="164" fontId="65" fillId="3" borderId="13" xfId="21" applyFont="1" applyFill="1" applyBorder="1" applyAlignment="1">
      <alignment horizontal="center" vertical="center"/>
    </xf>
    <xf numFmtId="164" fontId="65" fillId="3" borderId="15" xfId="21" applyFont="1" applyFill="1" applyBorder="1" applyAlignment="1">
      <alignment horizontal="center" vertical="center"/>
    </xf>
    <xf numFmtId="164" fontId="65" fillId="3" borderId="14" xfId="21" applyFont="1" applyFill="1" applyBorder="1" applyAlignment="1">
      <alignment horizontal="center" vertical="center"/>
    </xf>
    <xf numFmtId="0" fontId="66" fillId="2" borderId="12" xfId="20" applyFont="1" applyFill="1" applyBorder="1" applyAlignment="1">
      <alignment horizontal="left"/>
    </xf>
    <xf numFmtId="0" fontId="65" fillId="2" borderId="2" xfId="20" applyFont="1" applyFill="1" applyBorder="1" applyAlignment="1">
      <alignment horizontal="center"/>
    </xf>
    <xf numFmtId="0" fontId="65" fillId="2" borderId="7" xfId="20" applyFont="1" applyFill="1" applyBorder="1" applyAlignment="1">
      <alignment horizontal="center"/>
    </xf>
    <xf numFmtId="0" fontId="65" fillId="2" borderId="1" xfId="20" applyFont="1" applyFill="1" applyBorder="1" applyAlignment="1">
      <alignment horizontal="center"/>
    </xf>
    <xf numFmtId="0" fontId="65" fillId="2" borderId="8" xfId="20" applyFont="1" applyFill="1" applyBorder="1" applyAlignment="1">
      <alignment horizontal="center"/>
    </xf>
    <xf numFmtId="0" fontId="65" fillId="2" borderId="10" xfId="20" applyFont="1" applyFill="1" applyBorder="1" applyAlignment="1">
      <alignment horizontal="center"/>
    </xf>
    <xf numFmtId="0" fontId="65" fillId="2" borderId="9" xfId="20" applyFont="1" applyFill="1" applyBorder="1" applyAlignment="1">
      <alignment horizontal="center"/>
    </xf>
    <xf numFmtId="49" fontId="65" fillId="2" borderId="8" xfId="20" applyNumberFormat="1" applyFont="1" applyFill="1" applyBorder="1" applyAlignment="1">
      <alignment horizontal="center" vertical="center"/>
    </xf>
    <xf numFmtId="49" fontId="65" fillId="2" borderId="9" xfId="20" applyNumberFormat="1" applyFont="1" applyFill="1" applyBorder="1" applyAlignment="1">
      <alignment horizontal="center" vertical="center"/>
    </xf>
    <xf numFmtId="49" fontId="65" fillId="2" borderId="2" xfId="20" applyNumberFormat="1" applyFont="1" applyFill="1" applyBorder="1" applyAlignment="1">
      <alignment horizontal="center" vertical="center"/>
    </xf>
    <xf numFmtId="49" fontId="65" fillId="2" borderId="1" xfId="20" applyNumberFormat="1" applyFont="1" applyFill="1" applyBorder="1" applyAlignment="1">
      <alignment horizontal="center" vertical="center"/>
    </xf>
    <xf numFmtId="0" fontId="66" fillId="2" borderId="12" xfId="20" applyFont="1" applyFill="1" applyBorder="1" applyAlignment="1">
      <alignment horizontal="center"/>
    </xf>
    <xf numFmtId="0" fontId="65" fillId="2" borderId="12" xfId="20" applyFont="1" applyFill="1" applyBorder="1" applyAlignment="1">
      <alignment horizontal="center"/>
    </xf>
    <xf numFmtId="0" fontId="66" fillId="2" borderId="13" xfId="20" applyFont="1" applyFill="1" applyBorder="1" applyAlignment="1">
      <alignment horizontal="left" vertical="center"/>
    </xf>
    <xf numFmtId="0" fontId="66" fillId="2" borderId="15" xfId="20" applyFont="1" applyFill="1" applyBorder="1" applyAlignment="1">
      <alignment horizontal="left" vertical="center"/>
    </xf>
    <xf numFmtId="0" fontId="66" fillId="2" borderId="14" xfId="20" applyFont="1" applyFill="1" applyBorder="1" applyAlignment="1">
      <alignment horizontal="left" vertical="center"/>
    </xf>
    <xf numFmtId="0" fontId="71" fillId="2" borderId="6" xfId="2" applyFont="1" applyFill="1" applyBorder="1" applyAlignment="1">
      <alignment horizontal="center"/>
    </xf>
    <xf numFmtId="0" fontId="71" fillId="2" borderId="0" xfId="2" applyFont="1" applyFill="1" applyAlignment="1">
      <alignment horizontal="center"/>
    </xf>
    <xf numFmtId="0" fontId="71" fillId="2" borderId="5" xfId="2" applyFont="1" applyFill="1" applyBorder="1" applyAlignment="1">
      <alignment horizontal="center"/>
    </xf>
    <xf numFmtId="0" fontId="2" fillId="2" borderId="6" xfId="2" applyFill="1" applyBorder="1" applyAlignment="1">
      <alignment horizontal="center"/>
    </xf>
    <xf numFmtId="0" fontId="2" fillId="2" borderId="0" xfId="2" applyFill="1" applyAlignment="1">
      <alignment horizontal="center"/>
    </xf>
    <xf numFmtId="0" fontId="2" fillId="2" borderId="5" xfId="2" applyFill="1" applyBorder="1" applyAlignment="1">
      <alignment horizontal="center"/>
    </xf>
    <xf numFmtId="0" fontId="2" fillId="2" borderId="2" xfId="2" applyFill="1" applyBorder="1" applyAlignment="1">
      <alignment horizontal="center"/>
    </xf>
    <xf numFmtId="0" fontId="2" fillId="2" borderId="7" xfId="2" applyFill="1" applyBorder="1" applyAlignment="1">
      <alignment horizontal="center"/>
    </xf>
    <xf numFmtId="0" fontId="2" fillId="2" borderId="1" xfId="2" applyFill="1" applyBorder="1" applyAlignment="1">
      <alignment horizontal="center"/>
    </xf>
    <xf numFmtId="0" fontId="72" fillId="2" borderId="8" xfId="2" applyFont="1" applyFill="1" applyBorder="1" applyAlignment="1">
      <alignment horizontal="center" vertical="center"/>
    </xf>
    <xf numFmtId="0" fontId="72" fillId="2" borderId="10" xfId="2" applyFont="1" applyFill="1" applyBorder="1" applyAlignment="1">
      <alignment horizontal="center" vertical="center"/>
    </xf>
    <xf numFmtId="0" fontId="72" fillId="2" borderId="9" xfId="2" applyFont="1" applyFill="1" applyBorder="1" applyAlignment="1">
      <alignment horizontal="center" vertical="center"/>
    </xf>
    <xf numFmtId="0" fontId="72" fillId="2" borderId="6" xfId="2" applyFont="1" applyFill="1" applyBorder="1" applyAlignment="1">
      <alignment horizontal="center" vertical="center"/>
    </xf>
    <xf numFmtId="0" fontId="72" fillId="2" borderId="0" xfId="2" applyFont="1" applyFill="1" applyAlignment="1">
      <alignment horizontal="center" vertical="center"/>
    </xf>
    <xf numFmtId="0" fontId="72" fillId="2" borderId="5" xfId="2" applyFont="1" applyFill="1" applyBorder="1" applyAlignment="1">
      <alignment horizontal="center" vertical="center"/>
    </xf>
    <xf numFmtId="0" fontId="2" fillId="2" borderId="8" xfId="2" applyFill="1" applyBorder="1" applyAlignment="1">
      <alignment horizontal="center"/>
    </xf>
    <xf numFmtId="0" fontId="2" fillId="2" borderId="10" xfId="2" applyFill="1" applyBorder="1" applyAlignment="1">
      <alignment horizontal="center"/>
    </xf>
    <xf numFmtId="0" fontId="2" fillId="2" borderId="9" xfId="2" applyFill="1" applyBorder="1" applyAlignment="1">
      <alignment horizontal="center"/>
    </xf>
    <xf numFmtId="0" fontId="14" fillId="2" borderId="6" xfId="2" applyFont="1" applyFill="1" applyBorder="1" applyAlignment="1">
      <alignment horizontal="center"/>
    </xf>
    <xf numFmtId="0" fontId="14" fillId="2" borderId="0" xfId="2" applyFont="1" applyFill="1" applyAlignment="1">
      <alignment horizontal="center"/>
    </xf>
    <xf numFmtId="0" fontId="14" fillId="2" borderId="5" xfId="2" applyFont="1" applyFill="1" applyBorder="1" applyAlignment="1">
      <alignment horizontal="center"/>
    </xf>
    <xf numFmtId="0" fontId="15" fillId="2" borderId="6" xfId="2" applyFont="1" applyFill="1" applyBorder="1" applyAlignment="1">
      <alignment horizontal="center"/>
    </xf>
    <xf numFmtId="0" fontId="15" fillId="2" borderId="0" xfId="2" applyFont="1" applyFill="1" applyAlignment="1">
      <alignment horizontal="center"/>
    </xf>
    <xf numFmtId="0" fontId="15" fillId="2" borderId="5" xfId="2" applyFont="1" applyFill="1" applyBorder="1" applyAlignment="1">
      <alignment horizontal="center"/>
    </xf>
    <xf numFmtId="0" fontId="75" fillId="2" borderId="0" xfId="2" applyFont="1" applyFill="1" applyAlignment="1">
      <alignment horizontal="left" vertical="center"/>
    </xf>
    <xf numFmtId="0" fontId="71" fillId="2" borderId="7" xfId="2" applyFont="1" applyFill="1" applyBorder="1" applyAlignment="1">
      <alignment horizontal="left" vertical="center"/>
    </xf>
    <xf numFmtId="4" fontId="71" fillId="2" borderId="7" xfId="2" applyNumberFormat="1" applyFont="1" applyFill="1" applyBorder="1" applyAlignment="1">
      <alignment horizontal="left" vertical="center"/>
    </xf>
    <xf numFmtId="0" fontId="71" fillId="2" borderId="15" xfId="2" applyFont="1" applyFill="1" applyBorder="1" applyAlignment="1">
      <alignment horizontal="left" vertical="center"/>
    </xf>
    <xf numFmtId="49" fontId="71" fillId="2" borderId="7" xfId="2" applyNumberFormat="1" applyFont="1" applyFill="1" applyBorder="1" applyAlignment="1">
      <alignment horizontal="left" vertical="center"/>
    </xf>
    <xf numFmtId="0" fontId="71" fillId="2" borderId="0" xfId="2" applyFont="1" applyFill="1" applyAlignment="1">
      <alignment horizontal="left" vertical="center"/>
    </xf>
    <xf numFmtId="169" fontId="71" fillId="2" borderId="7" xfId="2" applyNumberFormat="1" applyFont="1" applyFill="1" applyBorder="1" applyAlignment="1">
      <alignment horizontal="left" vertical="center"/>
    </xf>
    <xf numFmtId="0" fontId="71" fillId="2" borderId="7" xfId="2" applyNumberFormat="1" applyFont="1" applyFill="1" applyBorder="1" applyAlignment="1">
      <alignment horizontal="left" vertical="center"/>
    </xf>
    <xf numFmtId="49" fontId="71" fillId="2" borderId="7" xfId="15" applyNumberFormat="1" applyFont="1" applyFill="1" applyBorder="1" applyAlignment="1">
      <alignment horizontal="left" vertical="center"/>
    </xf>
    <xf numFmtId="43" fontId="71" fillId="2" borderId="7" xfId="15" applyFont="1" applyFill="1" applyBorder="1" applyAlignment="1">
      <alignment horizontal="left" vertical="center"/>
    </xf>
    <xf numFmtId="0" fontId="71" fillId="2" borderId="10" xfId="2" applyFont="1" applyFill="1" applyBorder="1" applyAlignment="1">
      <alignment horizontal="left" vertical="center"/>
    </xf>
    <xf numFmtId="165" fontId="71" fillId="2" borderId="7" xfId="2" applyNumberFormat="1" applyFont="1" applyFill="1" applyBorder="1" applyAlignment="1">
      <alignment horizontal="left" vertical="center"/>
    </xf>
    <xf numFmtId="0" fontId="71" fillId="2" borderId="13" xfId="2" applyFont="1" applyFill="1" applyBorder="1" applyAlignment="1">
      <alignment horizontal="left" vertical="center"/>
    </xf>
    <xf numFmtId="0" fontId="71" fillId="2" borderId="14" xfId="2" applyFont="1" applyFill="1" applyBorder="1" applyAlignment="1">
      <alignment horizontal="left" vertical="center"/>
    </xf>
    <xf numFmtId="0" fontId="71" fillId="2" borderId="13" xfId="2" applyFont="1" applyFill="1" applyBorder="1" applyAlignment="1">
      <alignment horizontal="center" vertical="center"/>
    </xf>
    <xf numFmtId="0" fontId="71" fillId="2" borderId="15" xfId="2" applyFont="1" applyFill="1" applyBorder="1" applyAlignment="1">
      <alignment horizontal="center" vertical="center"/>
    </xf>
    <xf numFmtId="0" fontId="71" fillId="2" borderId="14" xfId="2" applyFont="1" applyFill="1" applyBorder="1" applyAlignment="1">
      <alignment horizontal="center" vertical="center"/>
    </xf>
    <xf numFmtId="0" fontId="77" fillId="2" borderId="0" xfId="2" applyFont="1" applyFill="1" applyAlignment="1">
      <alignment horizontal="center" vertical="center"/>
    </xf>
    <xf numFmtId="0" fontId="75" fillId="2" borderId="12" xfId="2" applyFont="1" applyFill="1" applyBorder="1" applyAlignment="1">
      <alignment horizontal="center" vertical="center"/>
    </xf>
    <xf numFmtId="43" fontId="71" fillId="2" borderId="7" xfId="2" applyNumberFormat="1" applyFont="1" applyFill="1" applyBorder="1" applyAlignment="1">
      <alignment horizontal="left" vertical="center"/>
    </xf>
    <xf numFmtId="0" fontId="75" fillId="2" borderId="7" xfId="2" applyFont="1" applyFill="1" applyBorder="1" applyAlignment="1">
      <alignment horizontal="center" vertical="center"/>
    </xf>
  </cellXfs>
  <cellStyles count="22">
    <cellStyle name="Comma 2" xfId="4" xr:uid="{00000000-0005-0000-0000-000001000000}"/>
    <cellStyle name="Comma 2 2" xfId="15" xr:uid="{2D01F340-46E5-479A-A2BB-609F5D190C2B}"/>
    <cellStyle name="Comma 3" xfId="3" xr:uid="{00000000-0005-0000-0000-000002000000}"/>
    <cellStyle name="Comma 4" xfId="13" xr:uid="{0E774BFB-BFBE-436F-A882-44B097479C1A}"/>
    <cellStyle name="Comma 5" xfId="18" xr:uid="{FF591118-2776-4AA8-A7E1-9AE24A6A1B38}"/>
    <cellStyle name="Comma 6" xfId="21" xr:uid="{C79C6A35-5C48-4BEB-AD96-1E0DCB180517}"/>
    <cellStyle name="Normal" xfId="0" builtinId="0"/>
    <cellStyle name="Normal 10" xfId="20" xr:uid="{69424320-D992-4982-839A-6CE154F4E5A8}"/>
    <cellStyle name="Normal 2" xfId="2" xr:uid="{00000000-0005-0000-0000-000004000000}"/>
    <cellStyle name="Normal 2 2" xfId="5" xr:uid="{00000000-0005-0000-0000-000005000000}"/>
    <cellStyle name="Normal 2 2 2" xfId="12" xr:uid="{0D781473-2D52-4E78-88AD-141CAB201A92}"/>
    <cellStyle name="Normal 2 2 3" xfId="10" xr:uid="{498C00A5-29F0-45D0-9330-2DFFC85D4C58}"/>
    <cellStyle name="Normal 3" xfId="6" xr:uid="{00000000-0005-0000-0000-000006000000}"/>
    <cellStyle name="Normal 3 2" xfId="14" xr:uid="{ED19163B-AC1D-436A-9925-BCDEE26603FF}"/>
    <cellStyle name="Normal 3 2 2" xfId="17" xr:uid="{11941DC3-CD9D-4CD5-8D37-BC4202BD0255}"/>
    <cellStyle name="Normal 4" xfId="7" xr:uid="{00000000-0005-0000-0000-000007000000}"/>
    <cellStyle name="Normal 4 2" xfId="16" xr:uid="{842C8886-4CA3-4D8E-AD58-FC53A6BC8C8B}"/>
    <cellStyle name="Normal 5" xfId="8" xr:uid="{00000000-0005-0000-0000-000008000000}"/>
    <cellStyle name="Normal 6" xfId="9" xr:uid="{00000000-0005-0000-0000-000009000000}"/>
    <cellStyle name="Normal 7" xfId="1" xr:uid="{00000000-0005-0000-0000-00000A000000}"/>
    <cellStyle name="Normal 8" xfId="11" xr:uid="{839BAF48-06DC-485A-BBB7-956B7248118B}"/>
    <cellStyle name="Normal 9" xfId="19" xr:uid="{F134FA0C-5C84-4A32-8631-5C9F6F7827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8</xdr:col>
      <xdr:colOff>133351</xdr:colOff>
      <xdr:row>74</xdr:row>
      <xdr:rowOff>0</xdr:rowOff>
    </xdr:from>
    <xdr:ext cx="194256" cy="445535"/>
    <xdr:sp macro="" textlink="">
      <xdr:nvSpPr>
        <xdr:cNvPr id="2" name="TextBox 1">
          <a:extLst>
            <a:ext uri="{FF2B5EF4-FFF2-40B4-BE49-F238E27FC236}">
              <a16:creationId xmlns:a16="http://schemas.microsoft.com/office/drawing/2014/main" id="{9C597535-C3CD-4BEA-BC78-D8653D193DA1}"/>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3" name="TextBox 2">
          <a:extLst>
            <a:ext uri="{FF2B5EF4-FFF2-40B4-BE49-F238E27FC236}">
              <a16:creationId xmlns:a16="http://schemas.microsoft.com/office/drawing/2014/main" id="{8357C341-0467-41AA-A04F-2980A8A32EA9}"/>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4" name="TextBox 3">
          <a:extLst>
            <a:ext uri="{FF2B5EF4-FFF2-40B4-BE49-F238E27FC236}">
              <a16:creationId xmlns:a16="http://schemas.microsoft.com/office/drawing/2014/main" id="{1F781F52-F95D-4EA9-921D-0E7CC8C1E2EA}"/>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5" name="TextBox 4">
          <a:extLst>
            <a:ext uri="{FF2B5EF4-FFF2-40B4-BE49-F238E27FC236}">
              <a16:creationId xmlns:a16="http://schemas.microsoft.com/office/drawing/2014/main" id="{1D5EA79F-0CD1-40A3-9763-430912596653}"/>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74</xdr:row>
      <xdr:rowOff>0</xdr:rowOff>
    </xdr:from>
    <xdr:ext cx="194256" cy="445535"/>
    <xdr:sp macro="" textlink="">
      <xdr:nvSpPr>
        <xdr:cNvPr id="6" name="TextBox 5">
          <a:extLst>
            <a:ext uri="{FF2B5EF4-FFF2-40B4-BE49-F238E27FC236}">
              <a16:creationId xmlns:a16="http://schemas.microsoft.com/office/drawing/2014/main" id="{786C134F-914C-4658-88D0-616C6A3C2E11}"/>
            </a:ext>
          </a:extLst>
        </xdr:cNvPr>
        <xdr:cNvSpPr txBox="1"/>
      </xdr:nvSpPr>
      <xdr:spPr>
        <a:xfrm>
          <a:off x="2705101" y="11195050"/>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133351</xdr:colOff>
      <xdr:row>3</xdr:row>
      <xdr:rowOff>85725</xdr:rowOff>
    </xdr:from>
    <xdr:ext cx="194256" cy="445535"/>
    <xdr:sp macro="" textlink="">
      <xdr:nvSpPr>
        <xdr:cNvPr id="7" name="TextBox 6">
          <a:extLst>
            <a:ext uri="{FF2B5EF4-FFF2-40B4-BE49-F238E27FC236}">
              <a16:creationId xmlns:a16="http://schemas.microsoft.com/office/drawing/2014/main" id="{70D852A0-9FB8-47F6-B7A4-25F9B79E5EA8}"/>
            </a:ext>
          </a:extLst>
        </xdr:cNvPr>
        <xdr:cNvSpPr txBox="1"/>
      </xdr:nvSpPr>
      <xdr:spPr>
        <a:xfrm>
          <a:off x="2705101" y="403225"/>
          <a:ext cx="194256" cy="445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oneCell">
    <xdr:from>
      <xdr:col>1</xdr:col>
      <xdr:colOff>227127</xdr:colOff>
      <xdr:row>2</xdr:row>
      <xdr:rowOff>33338</xdr:rowOff>
    </xdr:from>
    <xdr:to>
      <xdr:col>3</xdr:col>
      <xdr:colOff>42840</xdr:colOff>
      <xdr:row>8</xdr:row>
      <xdr:rowOff>9526</xdr:rowOff>
    </xdr:to>
    <xdr:pic>
      <xdr:nvPicPr>
        <xdr:cNvPr id="8" name="Picture 7">
          <a:extLst>
            <a:ext uri="{FF2B5EF4-FFF2-40B4-BE49-F238E27FC236}">
              <a16:creationId xmlns:a16="http://schemas.microsoft.com/office/drawing/2014/main" id="{222C9939-2983-4030-ABE3-05B579539B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1490" y="695326"/>
          <a:ext cx="930138" cy="9191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47616</xdr:colOff>
      <xdr:row>1</xdr:row>
      <xdr:rowOff>188371</xdr:rowOff>
    </xdr:from>
    <xdr:to>
      <xdr:col>7</xdr:col>
      <xdr:colOff>19041</xdr:colOff>
      <xdr:row>6</xdr:row>
      <xdr:rowOff>163325</xdr:rowOff>
    </xdr:to>
    <xdr:pic>
      <xdr:nvPicPr>
        <xdr:cNvPr id="3" name="Picture 2">
          <a:extLst>
            <a:ext uri="{FF2B5EF4-FFF2-40B4-BE49-F238E27FC236}">
              <a16:creationId xmlns:a16="http://schemas.microsoft.com/office/drawing/2014/main" id="{8325FDCE-253B-4443-BC35-4A41D317F0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2954" y="693196"/>
          <a:ext cx="990600" cy="10036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24627</xdr:colOff>
      <xdr:row>1</xdr:row>
      <xdr:rowOff>18653</xdr:rowOff>
    </xdr:from>
    <xdr:ext cx="1423173" cy="1410097"/>
    <xdr:pic>
      <xdr:nvPicPr>
        <xdr:cNvPr id="2" name="image1.png" title="Image">
          <a:extLst>
            <a:ext uri="{FF2B5EF4-FFF2-40B4-BE49-F238E27FC236}">
              <a16:creationId xmlns:a16="http://schemas.microsoft.com/office/drawing/2014/main" id="{5BE93735-EFB3-444E-A363-46E44D59E56B}"/>
            </a:ext>
          </a:extLst>
        </xdr:cNvPr>
        <xdr:cNvPicPr preferRelativeResize="0"/>
      </xdr:nvPicPr>
      <xdr:blipFill>
        <a:blip xmlns:r="http://schemas.openxmlformats.org/officeDocument/2006/relationships" r:embed="rId1" cstate="print"/>
        <a:stretch>
          <a:fillRect/>
        </a:stretch>
      </xdr:blipFill>
      <xdr:spPr>
        <a:xfrm>
          <a:off x="638990" y="523478"/>
          <a:ext cx="1423173" cy="1410097"/>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1</xdr:col>
      <xdr:colOff>33187</xdr:colOff>
      <xdr:row>18</xdr:row>
      <xdr:rowOff>22730</xdr:rowOff>
    </xdr:from>
    <xdr:to>
      <xdr:col>1</xdr:col>
      <xdr:colOff>164156</xdr:colOff>
      <xdr:row>18</xdr:row>
      <xdr:rowOff>149730</xdr:rowOff>
    </xdr:to>
    <xdr:sp macro="" textlink="">
      <xdr:nvSpPr>
        <xdr:cNvPr id="2" name="Rectangle 1">
          <a:extLst>
            <a:ext uri="{FF2B5EF4-FFF2-40B4-BE49-F238E27FC236}">
              <a16:creationId xmlns:a16="http://schemas.microsoft.com/office/drawing/2014/main" id="{F326EAC6-0D37-41EF-8FDA-574B608B3029}"/>
            </a:ext>
          </a:extLst>
        </xdr:cNvPr>
        <xdr:cNvSpPr/>
      </xdr:nvSpPr>
      <xdr:spPr>
        <a:xfrm>
          <a:off x="647982" y="3451730"/>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31887</xdr:colOff>
      <xdr:row>19</xdr:row>
      <xdr:rowOff>21430</xdr:rowOff>
    </xdr:from>
    <xdr:to>
      <xdr:col>1</xdr:col>
      <xdr:colOff>162856</xdr:colOff>
      <xdr:row>19</xdr:row>
      <xdr:rowOff>148430</xdr:rowOff>
    </xdr:to>
    <xdr:sp macro="" textlink="">
      <xdr:nvSpPr>
        <xdr:cNvPr id="3" name="Rectangle 2">
          <a:extLst>
            <a:ext uri="{FF2B5EF4-FFF2-40B4-BE49-F238E27FC236}">
              <a16:creationId xmlns:a16="http://schemas.microsoft.com/office/drawing/2014/main" id="{EC12782F-08B4-4DD8-816A-B144C5B11DF5}"/>
            </a:ext>
          </a:extLst>
        </xdr:cNvPr>
        <xdr:cNvSpPr/>
      </xdr:nvSpPr>
      <xdr:spPr>
        <a:xfrm>
          <a:off x="646682" y="3625777"/>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30588</xdr:colOff>
      <xdr:row>21</xdr:row>
      <xdr:rowOff>22300</xdr:rowOff>
    </xdr:from>
    <xdr:to>
      <xdr:col>1</xdr:col>
      <xdr:colOff>161557</xdr:colOff>
      <xdr:row>21</xdr:row>
      <xdr:rowOff>149300</xdr:rowOff>
    </xdr:to>
    <xdr:sp macro="" textlink="">
      <xdr:nvSpPr>
        <xdr:cNvPr id="5" name="Rectangle 4">
          <a:extLst>
            <a:ext uri="{FF2B5EF4-FFF2-40B4-BE49-F238E27FC236}">
              <a16:creationId xmlns:a16="http://schemas.microsoft.com/office/drawing/2014/main" id="{D11862BE-20C3-465D-B00F-FD6434DEC373}"/>
            </a:ext>
          </a:extLst>
        </xdr:cNvPr>
        <xdr:cNvSpPr/>
      </xdr:nvSpPr>
      <xdr:spPr>
        <a:xfrm>
          <a:off x="645383" y="3977340"/>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33613</xdr:colOff>
      <xdr:row>22</xdr:row>
      <xdr:rowOff>23169</xdr:rowOff>
    </xdr:from>
    <xdr:to>
      <xdr:col>1</xdr:col>
      <xdr:colOff>164582</xdr:colOff>
      <xdr:row>22</xdr:row>
      <xdr:rowOff>150169</xdr:rowOff>
    </xdr:to>
    <xdr:sp macro="" textlink="">
      <xdr:nvSpPr>
        <xdr:cNvPr id="6" name="Rectangle 5">
          <a:extLst>
            <a:ext uri="{FF2B5EF4-FFF2-40B4-BE49-F238E27FC236}">
              <a16:creationId xmlns:a16="http://schemas.microsoft.com/office/drawing/2014/main" id="{EA0CA5EB-F90C-4383-909F-07D740F8609F}"/>
            </a:ext>
          </a:extLst>
        </xdr:cNvPr>
        <xdr:cNvSpPr/>
      </xdr:nvSpPr>
      <xdr:spPr>
        <a:xfrm>
          <a:off x="648408" y="4153555"/>
          <a:ext cx="130969" cy="12700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oneCellAnchor>
    <xdr:from>
      <xdr:col>0</xdr:col>
      <xdr:colOff>584488</xdr:colOff>
      <xdr:row>17</xdr:row>
      <xdr:rowOff>129873</xdr:rowOff>
    </xdr:from>
    <xdr:ext cx="262380" cy="264560"/>
    <xdr:sp macro="" textlink="">
      <xdr:nvSpPr>
        <xdr:cNvPr id="7" name="TextBox 6">
          <a:extLst>
            <a:ext uri="{FF2B5EF4-FFF2-40B4-BE49-F238E27FC236}">
              <a16:creationId xmlns:a16="http://schemas.microsoft.com/office/drawing/2014/main" id="{CFBCF9F7-6B09-4C44-88BF-69FA37395A51}"/>
            </a:ext>
          </a:extLst>
        </xdr:cNvPr>
        <xdr:cNvSpPr txBox="1"/>
      </xdr:nvSpPr>
      <xdr:spPr>
        <a:xfrm>
          <a:off x="584488" y="3550469"/>
          <a:ext cx="2623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latin typeface="+mn-lt"/>
              <a:cs typeface="Times New Roman" panose="02020603050405020304" pitchFamily="18" charset="0"/>
            </a:rPr>
            <a:t>X</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271442</xdr:colOff>
      <xdr:row>2</xdr:row>
      <xdr:rowOff>52388</xdr:rowOff>
    </xdr:from>
    <xdr:ext cx="908317" cy="871537"/>
    <xdr:pic>
      <xdr:nvPicPr>
        <xdr:cNvPr id="4" name="image1.png" title="Image">
          <a:extLst>
            <a:ext uri="{FF2B5EF4-FFF2-40B4-BE49-F238E27FC236}">
              <a16:creationId xmlns:a16="http://schemas.microsoft.com/office/drawing/2014/main" id="{A4BDFF12-46B7-46FE-BC09-1BC5AA84D252}"/>
            </a:ext>
          </a:extLst>
        </xdr:cNvPr>
        <xdr:cNvPicPr preferRelativeResize="0"/>
      </xdr:nvPicPr>
      <xdr:blipFill>
        <a:blip xmlns:r="http://schemas.openxmlformats.org/officeDocument/2006/relationships" r:embed="rId1" cstate="print"/>
        <a:stretch>
          <a:fillRect/>
        </a:stretch>
      </xdr:blipFill>
      <xdr:spPr>
        <a:xfrm>
          <a:off x="885805" y="747713"/>
          <a:ext cx="908317" cy="871537"/>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19041</xdr:colOff>
      <xdr:row>3</xdr:row>
      <xdr:rowOff>68481</xdr:rowOff>
    </xdr:from>
    <xdr:ext cx="842962" cy="850682"/>
    <xdr:pic>
      <xdr:nvPicPr>
        <xdr:cNvPr id="3" name="image1.png" title="Image">
          <a:extLst>
            <a:ext uri="{FF2B5EF4-FFF2-40B4-BE49-F238E27FC236}">
              <a16:creationId xmlns:a16="http://schemas.microsoft.com/office/drawing/2014/main" id="{3D88CB94-F0DE-44F6-8894-A2147520F897}"/>
            </a:ext>
          </a:extLst>
        </xdr:cNvPr>
        <xdr:cNvPicPr preferRelativeResize="0"/>
      </xdr:nvPicPr>
      <xdr:blipFill>
        <a:blip xmlns:r="http://schemas.openxmlformats.org/officeDocument/2006/relationships" r:embed="rId1" cstate="print"/>
        <a:stretch>
          <a:fillRect/>
        </a:stretch>
      </xdr:blipFill>
      <xdr:spPr>
        <a:xfrm>
          <a:off x="1119179" y="954306"/>
          <a:ext cx="842962" cy="850682"/>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BE85-17C2-41CB-8B96-94924561E7F6}">
  <dimension ref="B1:C31"/>
  <sheetViews>
    <sheetView zoomScale="73" workbookViewId="0">
      <selection activeCell="C21" sqref="C21"/>
    </sheetView>
  </sheetViews>
  <sheetFormatPr defaultRowHeight="14.25" x14ac:dyDescent="0.45"/>
  <cols>
    <col min="1" max="1" width="3.6640625" style="126" customWidth="1"/>
    <col min="2" max="2" width="52.6640625" style="126" customWidth="1"/>
    <col min="3" max="3" width="120.33203125" style="126" customWidth="1"/>
    <col min="4" max="16384" width="9.06640625" style="126"/>
  </cols>
  <sheetData>
    <row r="1" spans="2:3" ht="20.25" customHeight="1" thickBot="1" x14ac:dyDescent="0.5"/>
    <row r="2" spans="2:3" ht="21" thickBot="1" x14ac:dyDescent="0.5">
      <c r="B2" s="227" t="s">
        <v>155</v>
      </c>
      <c r="C2" s="216" t="s">
        <v>131</v>
      </c>
    </row>
    <row r="3" spans="2:3" ht="21" thickBot="1" x14ac:dyDescent="0.5">
      <c r="B3" s="227" t="s">
        <v>159</v>
      </c>
      <c r="C3" s="216" t="s">
        <v>169</v>
      </c>
    </row>
    <row r="4" spans="2:3" ht="21" thickBot="1" x14ac:dyDescent="0.5">
      <c r="B4" s="227" t="s">
        <v>156</v>
      </c>
      <c r="C4" s="216" t="s">
        <v>113</v>
      </c>
    </row>
    <row r="5" spans="2:3" ht="21" thickBot="1" x14ac:dyDescent="0.5">
      <c r="B5" s="227" t="s">
        <v>240</v>
      </c>
      <c r="C5" s="270">
        <v>35106</v>
      </c>
    </row>
    <row r="6" spans="2:3" ht="21" thickBot="1" x14ac:dyDescent="0.5">
      <c r="B6" s="227" t="s">
        <v>160</v>
      </c>
      <c r="C6" s="216" t="s">
        <v>139</v>
      </c>
    </row>
    <row r="7" spans="2:3" ht="21" thickBot="1" x14ac:dyDescent="0.5">
      <c r="B7" s="227" t="s">
        <v>150</v>
      </c>
      <c r="C7" s="216" t="s">
        <v>170</v>
      </c>
    </row>
    <row r="8" spans="2:3" ht="21" thickBot="1" x14ac:dyDescent="0.5">
      <c r="B8" s="227" t="s">
        <v>143</v>
      </c>
      <c r="C8" s="216">
        <v>1</v>
      </c>
    </row>
    <row r="9" spans="2:3" ht="21" thickBot="1" x14ac:dyDescent="0.5">
      <c r="B9" s="227" t="s">
        <v>200</v>
      </c>
      <c r="C9" s="216" t="s">
        <v>201</v>
      </c>
    </row>
    <row r="10" spans="2:3" ht="21" thickBot="1" x14ac:dyDescent="0.5">
      <c r="B10" s="227" t="s">
        <v>171</v>
      </c>
      <c r="C10" s="216" t="s">
        <v>170</v>
      </c>
    </row>
    <row r="11" spans="2:3" ht="21" thickBot="1" x14ac:dyDescent="0.5">
      <c r="B11" s="227" t="s">
        <v>178</v>
      </c>
      <c r="C11" s="216" t="s">
        <v>121</v>
      </c>
    </row>
    <row r="12" spans="2:3" ht="21" thickBot="1" x14ac:dyDescent="0.5">
      <c r="B12" s="227" t="s">
        <v>179</v>
      </c>
      <c r="C12" s="236" t="s">
        <v>180</v>
      </c>
    </row>
    <row r="13" spans="2:3" ht="21" thickBot="1" x14ac:dyDescent="0.5">
      <c r="B13" s="227" t="s">
        <v>158</v>
      </c>
      <c r="C13" s="224" t="s">
        <v>256</v>
      </c>
    </row>
    <row r="14" spans="2:3" ht="21" thickBot="1" x14ac:dyDescent="0.5">
      <c r="B14" s="227" t="s">
        <v>161</v>
      </c>
      <c r="C14" s="224" t="s">
        <v>257</v>
      </c>
    </row>
    <row r="15" spans="2:3" ht="21" thickBot="1" x14ac:dyDescent="0.5">
      <c r="B15" s="227" t="s">
        <v>135</v>
      </c>
      <c r="C15" s="216" t="s">
        <v>183</v>
      </c>
    </row>
    <row r="16" spans="2:3" ht="21" thickBot="1" x14ac:dyDescent="0.6">
      <c r="B16" s="227" t="s">
        <v>162</v>
      </c>
      <c r="C16" s="217" t="s">
        <v>172</v>
      </c>
    </row>
    <row r="17" spans="2:3" ht="21" thickBot="1" x14ac:dyDescent="0.6">
      <c r="B17" s="227" t="s">
        <v>163</v>
      </c>
      <c r="C17" s="217" t="s">
        <v>173</v>
      </c>
    </row>
    <row r="18" spans="2:3" ht="21" thickBot="1" x14ac:dyDescent="0.5">
      <c r="B18" s="227" t="s">
        <v>164</v>
      </c>
      <c r="C18" s="218">
        <f>'IT-09-P01'!K36</f>
        <v>5160</v>
      </c>
    </row>
    <row r="19" spans="2:3" ht="21" thickBot="1" x14ac:dyDescent="0.5">
      <c r="B19" s="227" t="s">
        <v>181</v>
      </c>
      <c r="C19" s="225" t="s">
        <v>258</v>
      </c>
    </row>
    <row r="20" spans="2:3" ht="21" thickBot="1" x14ac:dyDescent="0.6">
      <c r="B20" s="227" t="s">
        <v>165</v>
      </c>
      <c r="C20" s="217" t="s">
        <v>174</v>
      </c>
    </row>
    <row r="21" spans="2:3" ht="21" thickBot="1" x14ac:dyDescent="0.6">
      <c r="B21" s="227" t="s">
        <v>166</v>
      </c>
      <c r="C21" s="217" t="s">
        <v>175</v>
      </c>
    </row>
    <row r="22" spans="2:3" ht="21" thickBot="1" x14ac:dyDescent="0.6">
      <c r="B22" s="227" t="s">
        <v>167</v>
      </c>
      <c r="C22" s="217" t="s">
        <v>176</v>
      </c>
    </row>
    <row r="23" spans="2:3" ht="21" thickBot="1" x14ac:dyDescent="0.6">
      <c r="B23" s="227" t="s">
        <v>168</v>
      </c>
      <c r="C23" s="217" t="s">
        <v>177</v>
      </c>
    </row>
    <row r="24" spans="2:3" ht="14.65" thickBot="1" x14ac:dyDescent="0.5"/>
    <row r="25" spans="2:3" ht="21" thickBot="1" x14ac:dyDescent="0.6">
      <c r="B25" s="227" t="s">
        <v>229</v>
      </c>
      <c r="C25" s="269" t="s">
        <v>115</v>
      </c>
    </row>
    <row r="26" spans="2:3" ht="21" thickBot="1" x14ac:dyDescent="0.6">
      <c r="B26" s="227" t="s">
        <v>230</v>
      </c>
      <c r="C26" s="269" t="s">
        <v>117</v>
      </c>
    </row>
    <row r="27" spans="2:3" ht="21" thickBot="1" x14ac:dyDescent="0.6">
      <c r="B27" s="227" t="s">
        <v>231</v>
      </c>
      <c r="C27" s="269" t="s">
        <v>237</v>
      </c>
    </row>
    <row r="28" spans="2:3" ht="21" thickBot="1" x14ac:dyDescent="0.6">
      <c r="B28" s="227" t="s">
        <v>232</v>
      </c>
      <c r="C28" s="269" t="s">
        <v>238</v>
      </c>
    </row>
    <row r="29" spans="2:3" ht="21" thickBot="1" x14ac:dyDescent="0.6">
      <c r="B29" s="227" t="s">
        <v>233</v>
      </c>
      <c r="C29" s="269" t="s">
        <v>239</v>
      </c>
    </row>
    <row r="30" spans="2:3" ht="21" thickBot="1" x14ac:dyDescent="0.6">
      <c r="B30" s="227" t="s">
        <v>234</v>
      </c>
      <c r="C30" s="269" t="s">
        <v>188</v>
      </c>
    </row>
    <row r="31" spans="2:3" ht="21" thickBot="1" x14ac:dyDescent="0.6">
      <c r="B31" s="227" t="s">
        <v>235</v>
      </c>
      <c r="C31" s="269" t="s">
        <v>236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B201-854C-4ECE-A10F-7664DEB096CE}">
  <sheetPr>
    <pageSetUpPr fitToPage="1"/>
  </sheetPr>
  <dimension ref="A1:WVV72"/>
  <sheetViews>
    <sheetView tabSelected="1" view="pageBreakPreview" zoomScaleNormal="100" zoomScaleSheetLayoutView="100" zoomScalePageLayoutView="81" workbookViewId="0">
      <selection activeCell="C59" sqref="C59:E59"/>
    </sheetView>
  </sheetViews>
  <sheetFormatPr defaultColWidth="0" defaultRowHeight="12.7" customHeight="1" x14ac:dyDescent="0.35"/>
  <cols>
    <col min="1" max="1" width="8.59765625" style="27" customWidth="1"/>
    <col min="2" max="2" width="5.86328125" style="27" customWidth="1"/>
    <col min="3" max="3" width="9.73046875" style="27" customWidth="1"/>
    <col min="4" max="4" width="6.59765625" style="27" customWidth="1"/>
    <col min="5" max="5" width="4.46484375" style="27" customWidth="1"/>
    <col min="6" max="6" width="6.53125" style="27" customWidth="1"/>
    <col min="7" max="7" width="8" style="27" customWidth="1"/>
    <col min="8" max="8" width="11.53125" style="27" customWidth="1"/>
    <col min="9" max="9" width="27.46484375" style="27" customWidth="1"/>
    <col min="10" max="10" width="5.46484375" style="27" customWidth="1"/>
    <col min="11" max="11" width="9.46484375" style="27" customWidth="1"/>
    <col min="12" max="12" width="8.46484375" style="27" customWidth="1"/>
    <col min="13" max="13" width="10.46484375" style="27" customWidth="1"/>
    <col min="14" max="14" width="17.73046875" style="27" customWidth="1"/>
    <col min="15" max="15" width="8.73046875" style="27" customWidth="1"/>
    <col min="16" max="16" width="6.265625" style="27" hidden="1"/>
    <col min="17" max="17" width="7" style="27" hidden="1"/>
    <col min="18" max="18" width="1.265625" style="27" hidden="1"/>
    <col min="19" max="19" width="4.46484375" style="27" hidden="1"/>
    <col min="20" max="20" width="6.53125" style="27" hidden="1"/>
    <col min="21" max="21" width="8" style="27" hidden="1"/>
    <col min="22" max="22" width="2" style="27" hidden="1"/>
    <col min="23" max="23" width="16.796875" style="27" hidden="1"/>
    <col min="24" max="24" width="6.796875" style="27" hidden="1"/>
    <col min="25" max="25" width="6.46484375" style="27" hidden="1"/>
    <col min="26" max="26" width="10.46484375" style="27" hidden="1"/>
    <col min="27" max="27" width="12" style="27" hidden="1"/>
    <col min="28" max="28" width="11.73046875" style="27" hidden="1"/>
    <col min="29" max="256" width="8.73046875" style="27" hidden="1"/>
    <col min="257" max="257" width="1.796875" style="27" hidden="1"/>
    <col min="258" max="258" width="6.73046875" style="27" hidden="1"/>
    <col min="259" max="259" width="7" style="27" hidden="1"/>
    <col min="260" max="260" width="1.265625" style="27" hidden="1"/>
    <col min="261" max="261" width="4.46484375" style="27" hidden="1"/>
    <col min="262" max="262" width="6.53125" style="27" hidden="1"/>
    <col min="263" max="263" width="8" style="27" hidden="1"/>
    <col min="264" max="264" width="2" style="27" hidden="1"/>
    <col min="265" max="265" width="16.796875" style="27" hidden="1"/>
    <col min="266" max="266" width="6.796875" style="27" hidden="1"/>
    <col min="267" max="267" width="6.46484375" style="27" hidden="1"/>
    <col min="268" max="268" width="11" style="27" hidden="1"/>
    <col min="269" max="269" width="12" style="27" hidden="1"/>
    <col min="270" max="270" width="12.53125" style="27" hidden="1"/>
    <col min="271" max="512" width="8.73046875" style="27" hidden="1"/>
    <col min="513" max="513" width="1.796875" style="27" hidden="1"/>
    <col min="514" max="514" width="6.73046875" style="27" hidden="1"/>
    <col min="515" max="515" width="7" style="27" hidden="1"/>
    <col min="516" max="516" width="1.265625" style="27" hidden="1"/>
    <col min="517" max="517" width="4.46484375" style="27" hidden="1"/>
    <col min="518" max="518" width="6.53125" style="27" hidden="1"/>
    <col min="519" max="519" width="8" style="27" hidden="1"/>
    <col min="520" max="520" width="2" style="27" hidden="1"/>
    <col min="521" max="521" width="16.796875" style="27" hidden="1"/>
    <col min="522" max="522" width="6.796875" style="27" hidden="1"/>
    <col min="523" max="523" width="6.46484375" style="27" hidden="1"/>
    <col min="524" max="524" width="11" style="27" hidden="1"/>
    <col min="525" max="525" width="12" style="27" hidden="1"/>
    <col min="526" max="526" width="12.53125" style="27" hidden="1"/>
    <col min="527" max="768" width="8.73046875" style="27" hidden="1"/>
    <col min="769" max="769" width="1.796875" style="27" hidden="1"/>
    <col min="770" max="770" width="6.73046875" style="27" hidden="1"/>
    <col min="771" max="771" width="7" style="27" hidden="1"/>
    <col min="772" max="772" width="1.265625" style="27" hidden="1"/>
    <col min="773" max="773" width="4.46484375" style="27" hidden="1"/>
    <col min="774" max="774" width="6.53125" style="27" hidden="1"/>
    <col min="775" max="775" width="8" style="27" hidden="1"/>
    <col min="776" max="776" width="2" style="27" hidden="1"/>
    <col min="777" max="777" width="16.796875" style="27" hidden="1"/>
    <col min="778" max="778" width="6.796875" style="27" hidden="1"/>
    <col min="779" max="779" width="6.46484375" style="27" hidden="1"/>
    <col min="780" max="780" width="11" style="27" hidden="1"/>
    <col min="781" max="781" width="12" style="27" hidden="1"/>
    <col min="782" max="782" width="12.53125" style="27" hidden="1"/>
    <col min="783" max="1024" width="8.73046875" style="27" hidden="1"/>
    <col min="1025" max="1025" width="1.796875" style="27" hidden="1"/>
    <col min="1026" max="1026" width="6.73046875" style="27" hidden="1"/>
    <col min="1027" max="1027" width="7" style="27" hidden="1"/>
    <col min="1028" max="1028" width="1.265625" style="27" hidden="1"/>
    <col min="1029" max="1029" width="4.46484375" style="27" hidden="1"/>
    <col min="1030" max="1030" width="6.53125" style="27" hidden="1"/>
    <col min="1031" max="1031" width="8" style="27" hidden="1"/>
    <col min="1032" max="1032" width="2" style="27" hidden="1"/>
    <col min="1033" max="1033" width="16.796875" style="27" hidden="1"/>
    <col min="1034" max="1034" width="6.796875" style="27" hidden="1"/>
    <col min="1035" max="1035" width="6.46484375" style="27" hidden="1"/>
    <col min="1036" max="1036" width="11" style="27" hidden="1"/>
    <col min="1037" max="1037" width="12" style="27" hidden="1"/>
    <col min="1038" max="1038" width="12.53125" style="27" hidden="1"/>
    <col min="1039" max="1280" width="8.73046875" style="27" hidden="1"/>
    <col min="1281" max="1281" width="1.796875" style="27" hidden="1"/>
    <col min="1282" max="1282" width="6.73046875" style="27" hidden="1"/>
    <col min="1283" max="1283" width="7" style="27" hidden="1"/>
    <col min="1284" max="1284" width="1.265625" style="27" hidden="1"/>
    <col min="1285" max="1285" width="4.46484375" style="27" hidden="1"/>
    <col min="1286" max="1286" width="6.53125" style="27" hidden="1"/>
    <col min="1287" max="1287" width="8" style="27" hidden="1"/>
    <col min="1288" max="1288" width="2" style="27" hidden="1"/>
    <col min="1289" max="1289" width="16.796875" style="27" hidden="1"/>
    <col min="1290" max="1290" width="6.796875" style="27" hidden="1"/>
    <col min="1291" max="1291" width="6.46484375" style="27" hidden="1"/>
    <col min="1292" max="1292" width="11" style="27" hidden="1"/>
    <col min="1293" max="1293" width="12" style="27" hidden="1"/>
    <col min="1294" max="1294" width="12.53125" style="27" hidden="1"/>
    <col min="1295" max="1536" width="8.73046875" style="27" hidden="1"/>
    <col min="1537" max="1537" width="1.796875" style="27" hidden="1"/>
    <col min="1538" max="1538" width="6.73046875" style="27" hidden="1"/>
    <col min="1539" max="1539" width="7" style="27" hidden="1"/>
    <col min="1540" max="1540" width="1.265625" style="27" hidden="1"/>
    <col min="1541" max="1541" width="4.46484375" style="27" hidden="1"/>
    <col min="1542" max="1542" width="6.53125" style="27" hidden="1"/>
    <col min="1543" max="1543" width="8" style="27" hidden="1"/>
    <col min="1544" max="1544" width="2" style="27" hidden="1"/>
    <col min="1545" max="1545" width="16.796875" style="27" hidden="1"/>
    <col min="1546" max="1546" width="6.796875" style="27" hidden="1"/>
    <col min="1547" max="1547" width="6.46484375" style="27" hidden="1"/>
    <col min="1548" max="1548" width="11" style="27" hidden="1"/>
    <col min="1549" max="1549" width="12" style="27" hidden="1"/>
    <col min="1550" max="1550" width="12.53125" style="27" hidden="1"/>
    <col min="1551" max="1792" width="8.73046875" style="27" hidden="1"/>
    <col min="1793" max="1793" width="1.796875" style="27" hidden="1"/>
    <col min="1794" max="1794" width="6.73046875" style="27" hidden="1"/>
    <col min="1795" max="1795" width="7" style="27" hidden="1"/>
    <col min="1796" max="1796" width="1.265625" style="27" hidden="1"/>
    <col min="1797" max="1797" width="4.46484375" style="27" hidden="1"/>
    <col min="1798" max="1798" width="6.53125" style="27" hidden="1"/>
    <col min="1799" max="1799" width="8" style="27" hidden="1"/>
    <col min="1800" max="1800" width="2" style="27" hidden="1"/>
    <col min="1801" max="1801" width="16.796875" style="27" hidden="1"/>
    <col min="1802" max="1802" width="6.796875" style="27" hidden="1"/>
    <col min="1803" max="1803" width="6.46484375" style="27" hidden="1"/>
    <col min="1804" max="1804" width="11" style="27" hidden="1"/>
    <col min="1805" max="1805" width="12" style="27" hidden="1"/>
    <col min="1806" max="1806" width="12.53125" style="27" hidden="1"/>
    <col min="1807" max="2048" width="8.73046875" style="27" hidden="1"/>
    <col min="2049" max="2049" width="1.796875" style="27" hidden="1"/>
    <col min="2050" max="2050" width="6.73046875" style="27" hidden="1"/>
    <col min="2051" max="2051" width="7" style="27" hidden="1"/>
    <col min="2052" max="2052" width="1.265625" style="27" hidden="1"/>
    <col min="2053" max="2053" width="4.46484375" style="27" hidden="1"/>
    <col min="2054" max="2054" width="6.53125" style="27" hidden="1"/>
    <col min="2055" max="2055" width="8" style="27" hidden="1"/>
    <col min="2056" max="2056" width="2" style="27" hidden="1"/>
    <col min="2057" max="2057" width="16.796875" style="27" hidden="1"/>
    <col min="2058" max="2058" width="6.796875" style="27" hidden="1"/>
    <col min="2059" max="2059" width="6.46484375" style="27" hidden="1"/>
    <col min="2060" max="2060" width="11" style="27" hidden="1"/>
    <col min="2061" max="2061" width="12" style="27" hidden="1"/>
    <col min="2062" max="2062" width="12.53125" style="27" hidden="1"/>
    <col min="2063" max="2304" width="8.73046875" style="27" hidden="1"/>
    <col min="2305" max="2305" width="1.796875" style="27" hidden="1"/>
    <col min="2306" max="2306" width="6.73046875" style="27" hidden="1"/>
    <col min="2307" max="2307" width="7" style="27" hidden="1"/>
    <col min="2308" max="2308" width="1.265625" style="27" hidden="1"/>
    <col min="2309" max="2309" width="4.46484375" style="27" hidden="1"/>
    <col min="2310" max="2310" width="6.53125" style="27" hidden="1"/>
    <col min="2311" max="2311" width="8" style="27" hidden="1"/>
    <col min="2312" max="2312" width="2" style="27" hidden="1"/>
    <col min="2313" max="2313" width="16.796875" style="27" hidden="1"/>
    <col min="2314" max="2314" width="6.796875" style="27" hidden="1"/>
    <col min="2315" max="2315" width="6.46484375" style="27" hidden="1"/>
    <col min="2316" max="2316" width="11" style="27" hidden="1"/>
    <col min="2317" max="2317" width="12" style="27" hidden="1"/>
    <col min="2318" max="2318" width="12.53125" style="27" hidden="1"/>
    <col min="2319" max="2560" width="8.73046875" style="27" hidden="1"/>
    <col min="2561" max="2561" width="1.796875" style="27" hidden="1"/>
    <col min="2562" max="2562" width="6.73046875" style="27" hidden="1"/>
    <col min="2563" max="2563" width="7" style="27" hidden="1"/>
    <col min="2564" max="2564" width="1.265625" style="27" hidden="1"/>
    <col min="2565" max="2565" width="4.46484375" style="27" hidden="1"/>
    <col min="2566" max="2566" width="6.53125" style="27" hidden="1"/>
    <col min="2567" max="2567" width="8" style="27" hidden="1"/>
    <col min="2568" max="2568" width="2" style="27" hidden="1"/>
    <col min="2569" max="2569" width="16.796875" style="27" hidden="1"/>
    <col min="2570" max="2570" width="6.796875" style="27" hidden="1"/>
    <col min="2571" max="2571" width="6.46484375" style="27" hidden="1"/>
    <col min="2572" max="2572" width="11" style="27" hidden="1"/>
    <col min="2573" max="2573" width="12" style="27" hidden="1"/>
    <col min="2574" max="2574" width="12.53125" style="27" hidden="1"/>
    <col min="2575" max="2816" width="8.73046875" style="27" hidden="1"/>
    <col min="2817" max="2817" width="1.796875" style="27" hidden="1"/>
    <col min="2818" max="2818" width="6.73046875" style="27" hidden="1"/>
    <col min="2819" max="2819" width="7" style="27" hidden="1"/>
    <col min="2820" max="2820" width="1.265625" style="27" hidden="1"/>
    <col min="2821" max="2821" width="4.46484375" style="27" hidden="1"/>
    <col min="2822" max="2822" width="6.53125" style="27" hidden="1"/>
    <col min="2823" max="2823" width="8" style="27" hidden="1"/>
    <col min="2824" max="2824" width="2" style="27" hidden="1"/>
    <col min="2825" max="2825" width="16.796875" style="27" hidden="1"/>
    <col min="2826" max="2826" width="6.796875" style="27" hidden="1"/>
    <col min="2827" max="2827" width="6.46484375" style="27" hidden="1"/>
    <col min="2828" max="2828" width="11" style="27" hidden="1"/>
    <col min="2829" max="2829" width="12" style="27" hidden="1"/>
    <col min="2830" max="2830" width="12.53125" style="27" hidden="1"/>
    <col min="2831" max="3072" width="8.73046875" style="27" hidden="1"/>
    <col min="3073" max="3073" width="1.796875" style="27" hidden="1"/>
    <col min="3074" max="3074" width="6.73046875" style="27" hidden="1"/>
    <col min="3075" max="3075" width="7" style="27" hidden="1"/>
    <col min="3076" max="3076" width="1.265625" style="27" hidden="1"/>
    <col min="3077" max="3077" width="4.46484375" style="27" hidden="1"/>
    <col min="3078" max="3078" width="6.53125" style="27" hidden="1"/>
    <col min="3079" max="3079" width="8" style="27" hidden="1"/>
    <col min="3080" max="3080" width="2" style="27" hidden="1"/>
    <col min="3081" max="3081" width="16.796875" style="27" hidden="1"/>
    <col min="3082" max="3082" width="6.796875" style="27" hidden="1"/>
    <col min="3083" max="3083" width="6.46484375" style="27" hidden="1"/>
    <col min="3084" max="3084" width="11" style="27" hidden="1"/>
    <col min="3085" max="3085" width="12" style="27" hidden="1"/>
    <col min="3086" max="3086" width="12.53125" style="27" hidden="1"/>
    <col min="3087" max="3328" width="8.73046875" style="27" hidden="1"/>
    <col min="3329" max="3329" width="1.796875" style="27" hidden="1"/>
    <col min="3330" max="3330" width="6.73046875" style="27" hidden="1"/>
    <col min="3331" max="3331" width="7" style="27" hidden="1"/>
    <col min="3332" max="3332" width="1.265625" style="27" hidden="1"/>
    <col min="3333" max="3333" width="4.46484375" style="27" hidden="1"/>
    <col min="3334" max="3334" width="6.53125" style="27" hidden="1"/>
    <col min="3335" max="3335" width="8" style="27" hidden="1"/>
    <col min="3336" max="3336" width="2" style="27" hidden="1"/>
    <col min="3337" max="3337" width="16.796875" style="27" hidden="1"/>
    <col min="3338" max="3338" width="6.796875" style="27" hidden="1"/>
    <col min="3339" max="3339" width="6.46484375" style="27" hidden="1"/>
    <col min="3340" max="3340" width="11" style="27" hidden="1"/>
    <col min="3341" max="3341" width="12" style="27" hidden="1"/>
    <col min="3342" max="3342" width="12.53125" style="27" hidden="1"/>
    <col min="3343" max="3584" width="8.73046875" style="27" hidden="1"/>
    <col min="3585" max="3585" width="1.796875" style="27" hidden="1"/>
    <col min="3586" max="3586" width="6.73046875" style="27" hidden="1"/>
    <col min="3587" max="3587" width="7" style="27" hidden="1"/>
    <col min="3588" max="3588" width="1.265625" style="27" hidden="1"/>
    <col min="3589" max="3589" width="4.46484375" style="27" hidden="1"/>
    <col min="3590" max="3590" width="6.53125" style="27" hidden="1"/>
    <col min="3591" max="3591" width="8" style="27" hidden="1"/>
    <col min="3592" max="3592" width="2" style="27" hidden="1"/>
    <col min="3593" max="3593" width="16.796875" style="27" hidden="1"/>
    <col min="3594" max="3594" width="6.796875" style="27" hidden="1"/>
    <col min="3595" max="3595" width="6.46484375" style="27" hidden="1"/>
    <col min="3596" max="3596" width="11" style="27" hidden="1"/>
    <col min="3597" max="3597" width="12" style="27" hidden="1"/>
    <col min="3598" max="3598" width="12.53125" style="27" hidden="1"/>
    <col min="3599" max="3840" width="8.73046875" style="27" hidden="1"/>
    <col min="3841" max="3841" width="1.796875" style="27" hidden="1"/>
    <col min="3842" max="3842" width="6.73046875" style="27" hidden="1"/>
    <col min="3843" max="3843" width="7" style="27" hidden="1"/>
    <col min="3844" max="3844" width="1.265625" style="27" hidden="1"/>
    <col min="3845" max="3845" width="4.46484375" style="27" hidden="1"/>
    <col min="3846" max="3846" width="6.53125" style="27" hidden="1"/>
    <col min="3847" max="3847" width="8" style="27" hidden="1"/>
    <col min="3848" max="3848" width="2" style="27" hidden="1"/>
    <col min="3849" max="3849" width="16.796875" style="27" hidden="1"/>
    <col min="3850" max="3850" width="6.796875" style="27" hidden="1"/>
    <col min="3851" max="3851" width="6.46484375" style="27" hidden="1"/>
    <col min="3852" max="3852" width="11" style="27" hidden="1"/>
    <col min="3853" max="3853" width="12" style="27" hidden="1"/>
    <col min="3854" max="3854" width="12.53125" style="27" hidden="1"/>
    <col min="3855" max="4096" width="8.73046875" style="27" hidden="1"/>
    <col min="4097" max="4097" width="1.796875" style="27" hidden="1"/>
    <col min="4098" max="4098" width="6.73046875" style="27" hidden="1"/>
    <col min="4099" max="4099" width="7" style="27" hidden="1"/>
    <col min="4100" max="4100" width="1.265625" style="27" hidden="1"/>
    <col min="4101" max="4101" width="4.46484375" style="27" hidden="1"/>
    <col min="4102" max="4102" width="6.53125" style="27" hidden="1"/>
    <col min="4103" max="4103" width="8" style="27" hidden="1"/>
    <col min="4104" max="4104" width="2" style="27" hidden="1"/>
    <col min="4105" max="4105" width="16.796875" style="27" hidden="1"/>
    <col min="4106" max="4106" width="6.796875" style="27" hidden="1"/>
    <col min="4107" max="4107" width="6.46484375" style="27" hidden="1"/>
    <col min="4108" max="4108" width="11" style="27" hidden="1"/>
    <col min="4109" max="4109" width="12" style="27" hidden="1"/>
    <col min="4110" max="4110" width="12.53125" style="27" hidden="1"/>
    <col min="4111" max="4352" width="8.73046875" style="27" hidden="1"/>
    <col min="4353" max="4353" width="1.796875" style="27" hidden="1"/>
    <col min="4354" max="4354" width="6.73046875" style="27" hidden="1"/>
    <col min="4355" max="4355" width="7" style="27" hidden="1"/>
    <col min="4356" max="4356" width="1.265625" style="27" hidden="1"/>
    <col min="4357" max="4357" width="4.46484375" style="27" hidden="1"/>
    <col min="4358" max="4358" width="6.53125" style="27" hidden="1"/>
    <col min="4359" max="4359" width="8" style="27" hidden="1"/>
    <col min="4360" max="4360" width="2" style="27" hidden="1"/>
    <col min="4361" max="4361" width="16.796875" style="27" hidden="1"/>
    <col min="4362" max="4362" width="6.796875" style="27" hidden="1"/>
    <col min="4363" max="4363" width="6.46484375" style="27" hidden="1"/>
    <col min="4364" max="4364" width="11" style="27" hidden="1"/>
    <col min="4365" max="4365" width="12" style="27" hidden="1"/>
    <col min="4366" max="4366" width="12.53125" style="27" hidden="1"/>
    <col min="4367" max="4608" width="8.73046875" style="27" hidden="1"/>
    <col min="4609" max="4609" width="1.796875" style="27" hidden="1"/>
    <col min="4610" max="4610" width="6.73046875" style="27" hidden="1"/>
    <col min="4611" max="4611" width="7" style="27" hidden="1"/>
    <col min="4612" max="4612" width="1.265625" style="27" hidden="1"/>
    <col min="4613" max="4613" width="4.46484375" style="27" hidden="1"/>
    <col min="4614" max="4614" width="6.53125" style="27" hidden="1"/>
    <col min="4615" max="4615" width="8" style="27" hidden="1"/>
    <col min="4616" max="4616" width="2" style="27" hidden="1"/>
    <col min="4617" max="4617" width="16.796875" style="27" hidden="1"/>
    <col min="4618" max="4618" width="6.796875" style="27" hidden="1"/>
    <col min="4619" max="4619" width="6.46484375" style="27" hidden="1"/>
    <col min="4620" max="4620" width="11" style="27" hidden="1"/>
    <col min="4621" max="4621" width="12" style="27" hidden="1"/>
    <col min="4622" max="4622" width="12.53125" style="27" hidden="1"/>
    <col min="4623" max="4864" width="8.73046875" style="27" hidden="1"/>
    <col min="4865" max="4865" width="1.796875" style="27" hidden="1"/>
    <col min="4866" max="4866" width="6.73046875" style="27" hidden="1"/>
    <col min="4867" max="4867" width="7" style="27" hidden="1"/>
    <col min="4868" max="4868" width="1.265625" style="27" hidden="1"/>
    <col min="4869" max="4869" width="4.46484375" style="27" hidden="1"/>
    <col min="4870" max="4870" width="6.53125" style="27" hidden="1"/>
    <col min="4871" max="4871" width="8" style="27" hidden="1"/>
    <col min="4872" max="4872" width="2" style="27" hidden="1"/>
    <col min="4873" max="4873" width="16.796875" style="27" hidden="1"/>
    <col min="4874" max="4874" width="6.796875" style="27" hidden="1"/>
    <col min="4875" max="4875" width="6.46484375" style="27" hidden="1"/>
    <col min="4876" max="4876" width="11" style="27" hidden="1"/>
    <col min="4877" max="4877" width="12" style="27" hidden="1"/>
    <col min="4878" max="4878" width="12.53125" style="27" hidden="1"/>
    <col min="4879" max="5120" width="8.73046875" style="27" hidden="1"/>
    <col min="5121" max="5121" width="1.796875" style="27" hidden="1"/>
    <col min="5122" max="5122" width="6.73046875" style="27" hidden="1"/>
    <col min="5123" max="5123" width="7" style="27" hidden="1"/>
    <col min="5124" max="5124" width="1.265625" style="27" hidden="1"/>
    <col min="5125" max="5125" width="4.46484375" style="27" hidden="1"/>
    <col min="5126" max="5126" width="6.53125" style="27" hidden="1"/>
    <col min="5127" max="5127" width="8" style="27" hidden="1"/>
    <col min="5128" max="5128" width="2" style="27" hidden="1"/>
    <col min="5129" max="5129" width="16.796875" style="27" hidden="1"/>
    <col min="5130" max="5130" width="6.796875" style="27" hidden="1"/>
    <col min="5131" max="5131" width="6.46484375" style="27" hidden="1"/>
    <col min="5132" max="5132" width="11" style="27" hidden="1"/>
    <col min="5133" max="5133" width="12" style="27" hidden="1"/>
    <col min="5134" max="5134" width="12.53125" style="27" hidden="1"/>
    <col min="5135" max="5376" width="8.73046875" style="27" hidden="1"/>
    <col min="5377" max="5377" width="1.796875" style="27" hidden="1"/>
    <col min="5378" max="5378" width="6.73046875" style="27" hidden="1"/>
    <col min="5379" max="5379" width="7" style="27" hidden="1"/>
    <col min="5380" max="5380" width="1.265625" style="27" hidden="1"/>
    <col min="5381" max="5381" width="4.46484375" style="27" hidden="1"/>
    <col min="5382" max="5382" width="6.53125" style="27" hidden="1"/>
    <col min="5383" max="5383" width="8" style="27" hidden="1"/>
    <col min="5384" max="5384" width="2" style="27" hidden="1"/>
    <col min="5385" max="5385" width="16.796875" style="27" hidden="1"/>
    <col min="5386" max="5386" width="6.796875" style="27" hidden="1"/>
    <col min="5387" max="5387" width="6.46484375" style="27" hidden="1"/>
    <col min="5388" max="5388" width="11" style="27" hidden="1"/>
    <col min="5389" max="5389" width="12" style="27" hidden="1"/>
    <col min="5390" max="5390" width="12.53125" style="27" hidden="1"/>
    <col min="5391" max="5632" width="8.73046875" style="27" hidden="1"/>
    <col min="5633" max="5633" width="1.796875" style="27" hidden="1"/>
    <col min="5634" max="5634" width="6.73046875" style="27" hidden="1"/>
    <col min="5635" max="5635" width="7" style="27" hidden="1"/>
    <col min="5636" max="5636" width="1.265625" style="27" hidden="1"/>
    <col min="5637" max="5637" width="4.46484375" style="27" hidden="1"/>
    <col min="5638" max="5638" width="6.53125" style="27" hidden="1"/>
    <col min="5639" max="5639" width="8" style="27" hidden="1"/>
    <col min="5640" max="5640" width="2" style="27" hidden="1"/>
    <col min="5641" max="5641" width="16.796875" style="27" hidden="1"/>
    <col min="5642" max="5642" width="6.796875" style="27" hidden="1"/>
    <col min="5643" max="5643" width="6.46484375" style="27" hidden="1"/>
    <col min="5644" max="5644" width="11" style="27" hidden="1"/>
    <col min="5645" max="5645" width="12" style="27" hidden="1"/>
    <col min="5646" max="5646" width="12.53125" style="27" hidden="1"/>
    <col min="5647" max="5888" width="8.73046875" style="27" hidden="1"/>
    <col min="5889" max="5889" width="1.796875" style="27" hidden="1"/>
    <col min="5890" max="5890" width="6.73046875" style="27" hidden="1"/>
    <col min="5891" max="5891" width="7" style="27" hidden="1"/>
    <col min="5892" max="5892" width="1.265625" style="27" hidden="1"/>
    <col min="5893" max="5893" width="4.46484375" style="27" hidden="1"/>
    <col min="5894" max="5894" width="6.53125" style="27" hidden="1"/>
    <col min="5895" max="5895" width="8" style="27" hidden="1"/>
    <col min="5896" max="5896" width="2" style="27" hidden="1"/>
    <col min="5897" max="5897" width="16.796875" style="27" hidden="1"/>
    <col min="5898" max="5898" width="6.796875" style="27" hidden="1"/>
    <col min="5899" max="5899" width="6.46484375" style="27" hidden="1"/>
    <col min="5900" max="5900" width="11" style="27" hidden="1"/>
    <col min="5901" max="5901" width="12" style="27" hidden="1"/>
    <col min="5902" max="5902" width="12.53125" style="27" hidden="1"/>
    <col min="5903" max="6144" width="8.73046875" style="27" hidden="1"/>
    <col min="6145" max="6145" width="1.796875" style="27" hidden="1"/>
    <col min="6146" max="6146" width="6.73046875" style="27" hidden="1"/>
    <col min="6147" max="6147" width="7" style="27" hidden="1"/>
    <col min="6148" max="6148" width="1.265625" style="27" hidden="1"/>
    <col min="6149" max="6149" width="4.46484375" style="27" hidden="1"/>
    <col min="6150" max="6150" width="6.53125" style="27" hidden="1"/>
    <col min="6151" max="6151" width="8" style="27" hidden="1"/>
    <col min="6152" max="6152" width="2" style="27" hidden="1"/>
    <col min="6153" max="6153" width="16.796875" style="27" hidden="1"/>
    <col min="6154" max="6154" width="6.796875" style="27" hidden="1"/>
    <col min="6155" max="6155" width="6.46484375" style="27" hidden="1"/>
    <col min="6156" max="6156" width="11" style="27" hidden="1"/>
    <col min="6157" max="6157" width="12" style="27" hidden="1"/>
    <col min="6158" max="6158" width="12.53125" style="27" hidden="1"/>
    <col min="6159" max="6400" width="8.73046875" style="27" hidden="1"/>
    <col min="6401" max="6401" width="1.796875" style="27" hidden="1"/>
    <col min="6402" max="6402" width="6.73046875" style="27" hidden="1"/>
    <col min="6403" max="6403" width="7" style="27" hidden="1"/>
    <col min="6404" max="6404" width="1.265625" style="27" hidden="1"/>
    <col min="6405" max="6405" width="4.46484375" style="27" hidden="1"/>
    <col min="6406" max="6406" width="6.53125" style="27" hidden="1"/>
    <col min="6407" max="6407" width="8" style="27" hidden="1"/>
    <col min="6408" max="6408" width="2" style="27" hidden="1"/>
    <col min="6409" max="6409" width="16.796875" style="27" hidden="1"/>
    <col min="6410" max="6410" width="6.796875" style="27" hidden="1"/>
    <col min="6411" max="6411" width="6.46484375" style="27" hidden="1"/>
    <col min="6412" max="6412" width="11" style="27" hidden="1"/>
    <col min="6413" max="6413" width="12" style="27" hidden="1"/>
    <col min="6414" max="6414" width="12.53125" style="27" hidden="1"/>
    <col min="6415" max="6656" width="8.73046875" style="27" hidden="1"/>
    <col min="6657" max="6657" width="1.796875" style="27" hidden="1"/>
    <col min="6658" max="6658" width="6.73046875" style="27" hidden="1"/>
    <col min="6659" max="6659" width="7" style="27" hidden="1"/>
    <col min="6660" max="6660" width="1.265625" style="27" hidden="1"/>
    <col min="6661" max="6661" width="4.46484375" style="27" hidden="1"/>
    <col min="6662" max="6662" width="6.53125" style="27" hidden="1"/>
    <col min="6663" max="6663" width="8" style="27" hidden="1"/>
    <col min="6664" max="6664" width="2" style="27" hidden="1"/>
    <col min="6665" max="6665" width="16.796875" style="27" hidden="1"/>
    <col min="6666" max="6666" width="6.796875" style="27" hidden="1"/>
    <col min="6667" max="6667" width="6.46484375" style="27" hidden="1"/>
    <col min="6668" max="6668" width="11" style="27" hidden="1"/>
    <col min="6669" max="6669" width="12" style="27" hidden="1"/>
    <col min="6670" max="6670" width="12.53125" style="27" hidden="1"/>
    <col min="6671" max="6912" width="8.73046875" style="27" hidden="1"/>
    <col min="6913" max="6913" width="1.796875" style="27" hidden="1"/>
    <col min="6914" max="6914" width="6.73046875" style="27" hidden="1"/>
    <col min="6915" max="6915" width="7" style="27" hidden="1"/>
    <col min="6916" max="6916" width="1.265625" style="27" hidden="1"/>
    <col min="6917" max="6917" width="4.46484375" style="27" hidden="1"/>
    <col min="6918" max="6918" width="6.53125" style="27" hidden="1"/>
    <col min="6919" max="6919" width="8" style="27" hidden="1"/>
    <col min="6920" max="6920" width="2" style="27" hidden="1"/>
    <col min="6921" max="6921" width="16.796875" style="27" hidden="1"/>
    <col min="6922" max="6922" width="6.796875" style="27" hidden="1"/>
    <col min="6923" max="6923" width="6.46484375" style="27" hidden="1"/>
    <col min="6924" max="6924" width="11" style="27" hidden="1"/>
    <col min="6925" max="6925" width="12" style="27" hidden="1"/>
    <col min="6926" max="6926" width="12.53125" style="27" hidden="1"/>
    <col min="6927" max="7168" width="8.73046875" style="27" hidden="1"/>
    <col min="7169" max="7169" width="1.796875" style="27" hidden="1"/>
    <col min="7170" max="7170" width="6.73046875" style="27" hidden="1"/>
    <col min="7171" max="7171" width="7" style="27" hidden="1"/>
    <col min="7172" max="7172" width="1.265625" style="27" hidden="1"/>
    <col min="7173" max="7173" width="4.46484375" style="27" hidden="1"/>
    <col min="7174" max="7174" width="6.53125" style="27" hidden="1"/>
    <col min="7175" max="7175" width="8" style="27" hidden="1"/>
    <col min="7176" max="7176" width="2" style="27" hidden="1"/>
    <col min="7177" max="7177" width="16.796875" style="27" hidden="1"/>
    <col min="7178" max="7178" width="6.796875" style="27" hidden="1"/>
    <col min="7179" max="7179" width="6.46484375" style="27" hidden="1"/>
    <col min="7180" max="7180" width="11" style="27" hidden="1"/>
    <col min="7181" max="7181" width="12" style="27" hidden="1"/>
    <col min="7182" max="7182" width="12.53125" style="27" hidden="1"/>
    <col min="7183" max="7424" width="8.73046875" style="27" hidden="1"/>
    <col min="7425" max="7425" width="1.796875" style="27" hidden="1"/>
    <col min="7426" max="7426" width="6.73046875" style="27" hidden="1"/>
    <col min="7427" max="7427" width="7" style="27" hidden="1"/>
    <col min="7428" max="7428" width="1.265625" style="27" hidden="1"/>
    <col min="7429" max="7429" width="4.46484375" style="27" hidden="1"/>
    <col min="7430" max="7430" width="6.53125" style="27" hidden="1"/>
    <col min="7431" max="7431" width="8" style="27" hidden="1"/>
    <col min="7432" max="7432" width="2" style="27" hidden="1"/>
    <col min="7433" max="7433" width="16.796875" style="27" hidden="1"/>
    <col min="7434" max="7434" width="6.796875" style="27" hidden="1"/>
    <col min="7435" max="7435" width="6.46484375" style="27" hidden="1"/>
    <col min="7436" max="7436" width="11" style="27" hidden="1"/>
    <col min="7437" max="7437" width="12" style="27" hidden="1"/>
    <col min="7438" max="7438" width="12.53125" style="27" hidden="1"/>
    <col min="7439" max="7680" width="8.73046875" style="27" hidden="1"/>
    <col min="7681" max="7681" width="1.796875" style="27" hidden="1"/>
    <col min="7682" max="7682" width="6.73046875" style="27" hidden="1"/>
    <col min="7683" max="7683" width="7" style="27" hidden="1"/>
    <col min="7684" max="7684" width="1.265625" style="27" hidden="1"/>
    <col min="7685" max="7685" width="4.46484375" style="27" hidden="1"/>
    <col min="7686" max="7686" width="6.53125" style="27" hidden="1"/>
    <col min="7687" max="7687" width="8" style="27" hidden="1"/>
    <col min="7688" max="7688" width="2" style="27" hidden="1"/>
    <col min="7689" max="7689" width="16.796875" style="27" hidden="1"/>
    <col min="7690" max="7690" width="6.796875" style="27" hidden="1"/>
    <col min="7691" max="7691" width="6.46484375" style="27" hidden="1"/>
    <col min="7692" max="7692" width="11" style="27" hidden="1"/>
    <col min="7693" max="7693" width="12" style="27" hidden="1"/>
    <col min="7694" max="7694" width="12.53125" style="27" hidden="1"/>
    <col min="7695" max="7936" width="8.73046875" style="27" hidden="1"/>
    <col min="7937" max="7937" width="1.796875" style="27" hidden="1"/>
    <col min="7938" max="7938" width="6.73046875" style="27" hidden="1"/>
    <col min="7939" max="7939" width="7" style="27" hidden="1"/>
    <col min="7940" max="7940" width="1.265625" style="27" hidden="1"/>
    <col min="7941" max="7941" width="4.46484375" style="27" hidden="1"/>
    <col min="7942" max="7942" width="6.53125" style="27" hidden="1"/>
    <col min="7943" max="7943" width="8" style="27" hidden="1"/>
    <col min="7944" max="7944" width="2" style="27" hidden="1"/>
    <col min="7945" max="7945" width="16.796875" style="27" hidden="1"/>
    <col min="7946" max="7946" width="6.796875" style="27" hidden="1"/>
    <col min="7947" max="7947" width="6.46484375" style="27" hidden="1"/>
    <col min="7948" max="7948" width="11" style="27" hidden="1"/>
    <col min="7949" max="7949" width="12" style="27" hidden="1"/>
    <col min="7950" max="7950" width="12.53125" style="27" hidden="1"/>
    <col min="7951" max="8192" width="8.73046875" style="27" hidden="1"/>
    <col min="8193" max="8193" width="1.796875" style="27" hidden="1"/>
    <col min="8194" max="8194" width="6.73046875" style="27" hidden="1"/>
    <col min="8195" max="8195" width="7" style="27" hidden="1"/>
    <col min="8196" max="8196" width="1.265625" style="27" hidden="1"/>
    <col min="8197" max="8197" width="4.46484375" style="27" hidden="1"/>
    <col min="8198" max="8198" width="6.53125" style="27" hidden="1"/>
    <col min="8199" max="8199" width="8" style="27" hidden="1"/>
    <col min="8200" max="8200" width="2" style="27" hidden="1"/>
    <col min="8201" max="8201" width="16.796875" style="27" hidden="1"/>
    <col min="8202" max="8202" width="6.796875" style="27" hidden="1"/>
    <col min="8203" max="8203" width="6.46484375" style="27" hidden="1"/>
    <col min="8204" max="8204" width="11" style="27" hidden="1"/>
    <col min="8205" max="8205" width="12" style="27" hidden="1"/>
    <col min="8206" max="8206" width="12.53125" style="27" hidden="1"/>
    <col min="8207" max="8448" width="8.73046875" style="27" hidden="1"/>
    <col min="8449" max="8449" width="1.796875" style="27" hidden="1"/>
    <col min="8450" max="8450" width="6.73046875" style="27" hidden="1"/>
    <col min="8451" max="8451" width="7" style="27" hidden="1"/>
    <col min="8452" max="8452" width="1.265625" style="27" hidden="1"/>
    <col min="8453" max="8453" width="4.46484375" style="27" hidden="1"/>
    <col min="8454" max="8454" width="6.53125" style="27" hidden="1"/>
    <col min="8455" max="8455" width="8" style="27" hidden="1"/>
    <col min="8456" max="8456" width="2" style="27" hidden="1"/>
    <col min="8457" max="8457" width="16.796875" style="27" hidden="1"/>
    <col min="8458" max="8458" width="6.796875" style="27" hidden="1"/>
    <col min="8459" max="8459" width="6.46484375" style="27" hidden="1"/>
    <col min="8460" max="8460" width="11" style="27" hidden="1"/>
    <col min="8461" max="8461" width="12" style="27" hidden="1"/>
    <col min="8462" max="8462" width="12.53125" style="27" hidden="1"/>
    <col min="8463" max="8704" width="8.73046875" style="27" hidden="1"/>
    <col min="8705" max="8705" width="1.796875" style="27" hidden="1"/>
    <col min="8706" max="8706" width="6.73046875" style="27" hidden="1"/>
    <col min="8707" max="8707" width="7" style="27" hidden="1"/>
    <col min="8708" max="8708" width="1.265625" style="27" hidden="1"/>
    <col min="8709" max="8709" width="4.46484375" style="27" hidden="1"/>
    <col min="8710" max="8710" width="6.53125" style="27" hidden="1"/>
    <col min="8711" max="8711" width="8" style="27" hidden="1"/>
    <col min="8712" max="8712" width="2" style="27" hidden="1"/>
    <col min="8713" max="8713" width="16.796875" style="27" hidden="1"/>
    <col min="8714" max="8714" width="6.796875" style="27" hidden="1"/>
    <col min="8715" max="8715" width="6.46484375" style="27" hidden="1"/>
    <col min="8716" max="8716" width="11" style="27" hidden="1"/>
    <col min="8717" max="8717" width="12" style="27" hidden="1"/>
    <col min="8718" max="8718" width="12.53125" style="27" hidden="1"/>
    <col min="8719" max="8960" width="8.73046875" style="27" hidden="1"/>
    <col min="8961" max="8961" width="1.796875" style="27" hidden="1"/>
    <col min="8962" max="8962" width="6.73046875" style="27" hidden="1"/>
    <col min="8963" max="8963" width="7" style="27" hidden="1"/>
    <col min="8964" max="8964" width="1.265625" style="27" hidden="1"/>
    <col min="8965" max="8965" width="4.46484375" style="27" hidden="1"/>
    <col min="8966" max="8966" width="6.53125" style="27" hidden="1"/>
    <col min="8967" max="8967" width="8" style="27" hidden="1"/>
    <col min="8968" max="8968" width="2" style="27" hidden="1"/>
    <col min="8969" max="8969" width="16.796875" style="27" hidden="1"/>
    <col min="8970" max="8970" width="6.796875" style="27" hidden="1"/>
    <col min="8971" max="8971" width="6.46484375" style="27" hidden="1"/>
    <col min="8972" max="8972" width="11" style="27" hidden="1"/>
    <col min="8973" max="8973" width="12" style="27" hidden="1"/>
    <col min="8974" max="8974" width="12.53125" style="27" hidden="1"/>
    <col min="8975" max="9216" width="8.73046875" style="27" hidden="1"/>
    <col min="9217" max="9217" width="1.796875" style="27" hidden="1"/>
    <col min="9218" max="9218" width="6.73046875" style="27" hidden="1"/>
    <col min="9219" max="9219" width="7" style="27" hidden="1"/>
    <col min="9220" max="9220" width="1.265625" style="27" hidden="1"/>
    <col min="9221" max="9221" width="4.46484375" style="27" hidden="1"/>
    <col min="9222" max="9222" width="6.53125" style="27" hidden="1"/>
    <col min="9223" max="9223" width="8" style="27" hidden="1"/>
    <col min="9224" max="9224" width="2" style="27" hidden="1"/>
    <col min="9225" max="9225" width="16.796875" style="27" hidden="1"/>
    <col min="9226" max="9226" width="6.796875" style="27" hidden="1"/>
    <col min="9227" max="9227" width="6.46484375" style="27" hidden="1"/>
    <col min="9228" max="9228" width="11" style="27" hidden="1"/>
    <col min="9229" max="9229" width="12" style="27" hidden="1"/>
    <col min="9230" max="9230" width="12.53125" style="27" hidden="1"/>
    <col min="9231" max="9472" width="8.73046875" style="27" hidden="1"/>
    <col min="9473" max="9473" width="1.796875" style="27" hidden="1"/>
    <col min="9474" max="9474" width="6.73046875" style="27" hidden="1"/>
    <col min="9475" max="9475" width="7" style="27" hidden="1"/>
    <col min="9476" max="9476" width="1.265625" style="27" hidden="1"/>
    <col min="9477" max="9477" width="4.46484375" style="27" hidden="1"/>
    <col min="9478" max="9478" width="6.53125" style="27" hidden="1"/>
    <col min="9479" max="9479" width="8" style="27" hidden="1"/>
    <col min="9480" max="9480" width="2" style="27" hidden="1"/>
    <col min="9481" max="9481" width="16.796875" style="27" hidden="1"/>
    <col min="9482" max="9482" width="6.796875" style="27" hidden="1"/>
    <col min="9483" max="9483" width="6.46484375" style="27" hidden="1"/>
    <col min="9484" max="9484" width="11" style="27" hidden="1"/>
    <col min="9485" max="9485" width="12" style="27" hidden="1"/>
    <col min="9486" max="9486" width="12.53125" style="27" hidden="1"/>
    <col min="9487" max="9728" width="8.73046875" style="27" hidden="1"/>
    <col min="9729" max="9729" width="1.796875" style="27" hidden="1"/>
    <col min="9730" max="9730" width="6.73046875" style="27" hidden="1"/>
    <col min="9731" max="9731" width="7" style="27" hidden="1"/>
    <col min="9732" max="9732" width="1.265625" style="27" hidden="1"/>
    <col min="9733" max="9733" width="4.46484375" style="27" hidden="1"/>
    <col min="9734" max="9734" width="6.53125" style="27" hidden="1"/>
    <col min="9735" max="9735" width="8" style="27" hidden="1"/>
    <col min="9736" max="9736" width="2" style="27" hidden="1"/>
    <col min="9737" max="9737" width="16.796875" style="27" hidden="1"/>
    <col min="9738" max="9738" width="6.796875" style="27" hidden="1"/>
    <col min="9739" max="9739" width="6.46484375" style="27" hidden="1"/>
    <col min="9740" max="9740" width="11" style="27" hidden="1"/>
    <col min="9741" max="9741" width="12" style="27" hidden="1"/>
    <col min="9742" max="9742" width="12.53125" style="27" hidden="1"/>
    <col min="9743" max="9984" width="8.73046875" style="27" hidden="1"/>
    <col min="9985" max="9985" width="1.796875" style="27" hidden="1"/>
    <col min="9986" max="9986" width="6.73046875" style="27" hidden="1"/>
    <col min="9987" max="9987" width="7" style="27" hidden="1"/>
    <col min="9988" max="9988" width="1.265625" style="27" hidden="1"/>
    <col min="9989" max="9989" width="4.46484375" style="27" hidden="1"/>
    <col min="9990" max="9990" width="6.53125" style="27" hidden="1"/>
    <col min="9991" max="9991" width="8" style="27" hidden="1"/>
    <col min="9992" max="9992" width="2" style="27" hidden="1"/>
    <col min="9993" max="9993" width="16.796875" style="27" hidden="1"/>
    <col min="9994" max="9994" width="6.796875" style="27" hidden="1"/>
    <col min="9995" max="9995" width="6.46484375" style="27" hidden="1"/>
    <col min="9996" max="9996" width="11" style="27" hidden="1"/>
    <col min="9997" max="9997" width="12" style="27" hidden="1"/>
    <col min="9998" max="9998" width="12.53125" style="27" hidden="1"/>
    <col min="9999" max="10240" width="8.73046875" style="27" hidden="1"/>
    <col min="10241" max="10241" width="1.796875" style="27" hidden="1"/>
    <col min="10242" max="10242" width="6.73046875" style="27" hidden="1"/>
    <col min="10243" max="10243" width="7" style="27" hidden="1"/>
    <col min="10244" max="10244" width="1.265625" style="27" hidden="1"/>
    <col min="10245" max="10245" width="4.46484375" style="27" hidden="1"/>
    <col min="10246" max="10246" width="6.53125" style="27" hidden="1"/>
    <col min="10247" max="10247" width="8" style="27" hidden="1"/>
    <col min="10248" max="10248" width="2" style="27" hidden="1"/>
    <col min="10249" max="10249" width="16.796875" style="27" hidden="1"/>
    <col min="10250" max="10250" width="6.796875" style="27" hidden="1"/>
    <col min="10251" max="10251" width="6.46484375" style="27" hidden="1"/>
    <col min="10252" max="10252" width="11" style="27" hidden="1"/>
    <col min="10253" max="10253" width="12" style="27" hidden="1"/>
    <col min="10254" max="10254" width="12.53125" style="27" hidden="1"/>
    <col min="10255" max="10496" width="8.73046875" style="27" hidden="1"/>
    <col min="10497" max="10497" width="1.796875" style="27" hidden="1"/>
    <col min="10498" max="10498" width="6.73046875" style="27" hidden="1"/>
    <col min="10499" max="10499" width="7" style="27" hidden="1"/>
    <col min="10500" max="10500" width="1.265625" style="27" hidden="1"/>
    <col min="10501" max="10501" width="4.46484375" style="27" hidden="1"/>
    <col min="10502" max="10502" width="6.53125" style="27" hidden="1"/>
    <col min="10503" max="10503" width="8" style="27" hidden="1"/>
    <col min="10504" max="10504" width="2" style="27" hidden="1"/>
    <col min="10505" max="10505" width="16.796875" style="27" hidden="1"/>
    <col min="10506" max="10506" width="6.796875" style="27" hidden="1"/>
    <col min="10507" max="10507" width="6.46484375" style="27" hidden="1"/>
    <col min="10508" max="10508" width="11" style="27" hidden="1"/>
    <col min="10509" max="10509" width="12" style="27" hidden="1"/>
    <col min="10510" max="10510" width="12.53125" style="27" hidden="1"/>
    <col min="10511" max="10752" width="8.73046875" style="27" hidden="1"/>
    <col min="10753" max="10753" width="1.796875" style="27" hidden="1"/>
    <col min="10754" max="10754" width="6.73046875" style="27" hidden="1"/>
    <col min="10755" max="10755" width="7" style="27" hidden="1"/>
    <col min="10756" max="10756" width="1.265625" style="27" hidden="1"/>
    <col min="10757" max="10757" width="4.46484375" style="27" hidden="1"/>
    <col min="10758" max="10758" width="6.53125" style="27" hidden="1"/>
    <col min="10759" max="10759" width="8" style="27" hidden="1"/>
    <col min="10760" max="10760" width="2" style="27" hidden="1"/>
    <col min="10761" max="10761" width="16.796875" style="27" hidden="1"/>
    <col min="10762" max="10762" width="6.796875" style="27" hidden="1"/>
    <col min="10763" max="10763" width="6.46484375" style="27" hidden="1"/>
    <col min="10764" max="10764" width="11" style="27" hidden="1"/>
    <col min="10765" max="10765" width="12" style="27" hidden="1"/>
    <col min="10766" max="10766" width="12.53125" style="27" hidden="1"/>
    <col min="10767" max="11008" width="8.73046875" style="27" hidden="1"/>
    <col min="11009" max="11009" width="1.796875" style="27" hidden="1"/>
    <col min="11010" max="11010" width="6.73046875" style="27" hidden="1"/>
    <col min="11011" max="11011" width="7" style="27" hidden="1"/>
    <col min="11012" max="11012" width="1.265625" style="27" hidden="1"/>
    <col min="11013" max="11013" width="4.46484375" style="27" hidden="1"/>
    <col min="11014" max="11014" width="6.53125" style="27" hidden="1"/>
    <col min="11015" max="11015" width="8" style="27" hidden="1"/>
    <col min="11016" max="11016" width="2" style="27" hidden="1"/>
    <col min="11017" max="11017" width="16.796875" style="27" hidden="1"/>
    <col min="11018" max="11018" width="6.796875" style="27" hidden="1"/>
    <col min="11019" max="11019" width="6.46484375" style="27" hidden="1"/>
    <col min="11020" max="11020" width="11" style="27" hidden="1"/>
    <col min="11021" max="11021" width="12" style="27" hidden="1"/>
    <col min="11022" max="11022" width="12.53125" style="27" hidden="1"/>
    <col min="11023" max="11264" width="8.73046875" style="27" hidden="1"/>
    <col min="11265" max="11265" width="1.796875" style="27" hidden="1"/>
    <col min="11266" max="11266" width="6.73046875" style="27" hidden="1"/>
    <col min="11267" max="11267" width="7" style="27" hidden="1"/>
    <col min="11268" max="11268" width="1.265625" style="27" hidden="1"/>
    <col min="11269" max="11269" width="4.46484375" style="27" hidden="1"/>
    <col min="11270" max="11270" width="6.53125" style="27" hidden="1"/>
    <col min="11271" max="11271" width="8" style="27" hidden="1"/>
    <col min="11272" max="11272" width="2" style="27" hidden="1"/>
    <col min="11273" max="11273" width="16.796875" style="27" hidden="1"/>
    <col min="11274" max="11274" width="6.796875" style="27" hidden="1"/>
    <col min="11275" max="11275" width="6.46484375" style="27" hidden="1"/>
    <col min="11276" max="11276" width="11" style="27" hidden="1"/>
    <col min="11277" max="11277" width="12" style="27" hidden="1"/>
    <col min="11278" max="11278" width="12.53125" style="27" hidden="1"/>
    <col min="11279" max="11520" width="8.73046875" style="27" hidden="1"/>
    <col min="11521" max="11521" width="1.796875" style="27" hidden="1"/>
    <col min="11522" max="11522" width="6.73046875" style="27" hidden="1"/>
    <col min="11523" max="11523" width="7" style="27" hidden="1"/>
    <col min="11524" max="11524" width="1.265625" style="27" hidden="1"/>
    <col min="11525" max="11525" width="4.46484375" style="27" hidden="1"/>
    <col min="11526" max="11526" width="6.53125" style="27" hidden="1"/>
    <col min="11527" max="11527" width="8" style="27" hidden="1"/>
    <col min="11528" max="11528" width="2" style="27" hidden="1"/>
    <col min="11529" max="11529" width="16.796875" style="27" hidden="1"/>
    <col min="11530" max="11530" width="6.796875" style="27" hidden="1"/>
    <col min="11531" max="11531" width="6.46484375" style="27" hidden="1"/>
    <col min="11532" max="11532" width="11" style="27" hidden="1"/>
    <col min="11533" max="11533" width="12" style="27" hidden="1"/>
    <col min="11534" max="11534" width="12.53125" style="27" hidden="1"/>
    <col min="11535" max="11776" width="8.73046875" style="27" hidden="1"/>
    <col min="11777" max="11777" width="1.796875" style="27" hidden="1"/>
    <col min="11778" max="11778" width="6.73046875" style="27" hidden="1"/>
    <col min="11779" max="11779" width="7" style="27" hidden="1"/>
    <col min="11780" max="11780" width="1.265625" style="27" hidden="1"/>
    <col min="11781" max="11781" width="4.46484375" style="27" hidden="1"/>
    <col min="11782" max="11782" width="6.53125" style="27" hidden="1"/>
    <col min="11783" max="11783" width="8" style="27" hidden="1"/>
    <col min="11784" max="11784" width="2" style="27" hidden="1"/>
    <col min="11785" max="11785" width="16.796875" style="27" hidden="1"/>
    <col min="11786" max="11786" width="6.796875" style="27" hidden="1"/>
    <col min="11787" max="11787" width="6.46484375" style="27" hidden="1"/>
    <col min="11788" max="11788" width="11" style="27" hidden="1"/>
    <col min="11789" max="11789" width="12" style="27" hidden="1"/>
    <col min="11790" max="11790" width="12.53125" style="27" hidden="1"/>
    <col min="11791" max="12032" width="8.73046875" style="27" hidden="1"/>
    <col min="12033" max="12033" width="1.796875" style="27" hidden="1"/>
    <col min="12034" max="12034" width="6.73046875" style="27" hidden="1"/>
    <col min="12035" max="12035" width="7" style="27" hidden="1"/>
    <col min="12036" max="12036" width="1.265625" style="27" hidden="1"/>
    <col min="12037" max="12037" width="4.46484375" style="27" hidden="1"/>
    <col min="12038" max="12038" width="6.53125" style="27" hidden="1"/>
    <col min="12039" max="12039" width="8" style="27" hidden="1"/>
    <col min="12040" max="12040" width="2" style="27" hidden="1"/>
    <col min="12041" max="12041" width="16.796875" style="27" hidden="1"/>
    <col min="12042" max="12042" width="6.796875" style="27" hidden="1"/>
    <col min="12043" max="12043" width="6.46484375" style="27" hidden="1"/>
    <col min="12044" max="12044" width="11" style="27" hidden="1"/>
    <col min="12045" max="12045" width="12" style="27" hidden="1"/>
    <col min="12046" max="12046" width="12.53125" style="27" hidden="1"/>
    <col min="12047" max="12288" width="8.73046875" style="27" hidden="1"/>
    <col min="12289" max="12289" width="1.796875" style="27" hidden="1"/>
    <col min="12290" max="12290" width="6.73046875" style="27" hidden="1"/>
    <col min="12291" max="12291" width="7" style="27" hidden="1"/>
    <col min="12292" max="12292" width="1.265625" style="27" hidden="1"/>
    <col min="12293" max="12293" width="4.46484375" style="27" hidden="1"/>
    <col min="12294" max="12294" width="6.53125" style="27" hidden="1"/>
    <col min="12295" max="12295" width="8" style="27" hidden="1"/>
    <col min="12296" max="12296" width="2" style="27" hidden="1"/>
    <col min="12297" max="12297" width="16.796875" style="27" hidden="1"/>
    <col min="12298" max="12298" width="6.796875" style="27" hidden="1"/>
    <col min="12299" max="12299" width="6.46484375" style="27" hidden="1"/>
    <col min="12300" max="12300" width="11" style="27" hidden="1"/>
    <col min="12301" max="12301" width="12" style="27" hidden="1"/>
    <col min="12302" max="12302" width="12.53125" style="27" hidden="1"/>
    <col min="12303" max="12544" width="8.73046875" style="27" hidden="1"/>
    <col min="12545" max="12545" width="1.796875" style="27" hidden="1"/>
    <col min="12546" max="12546" width="6.73046875" style="27" hidden="1"/>
    <col min="12547" max="12547" width="7" style="27" hidden="1"/>
    <col min="12548" max="12548" width="1.265625" style="27" hidden="1"/>
    <col min="12549" max="12549" width="4.46484375" style="27" hidden="1"/>
    <col min="12550" max="12550" width="6.53125" style="27" hidden="1"/>
    <col min="12551" max="12551" width="8" style="27" hidden="1"/>
    <col min="12552" max="12552" width="2" style="27" hidden="1"/>
    <col min="12553" max="12553" width="16.796875" style="27" hidden="1"/>
    <col min="12554" max="12554" width="6.796875" style="27" hidden="1"/>
    <col min="12555" max="12555" width="6.46484375" style="27" hidden="1"/>
    <col min="12556" max="12556" width="11" style="27" hidden="1"/>
    <col min="12557" max="12557" width="12" style="27" hidden="1"/>
    <col min="12558" max="12558" width="12.53125" style="27" hidden="1"/>
    <col min="12559" max="12800" width="8.73046875" style="27" hidden="1"/>
    <col min="12801" max="12801" width="1.796875" style="27" hidden="1"/>
    <col min="12802" max="12802" width="6.73046875" style="27" hidden="1"/>
    <col min="12803" max="12803" width="7" style="27" hidden="1"/>
    <col min="12804" max="12804" width="1.265625" style="27" hidden="1"/>
    <col min="12805" max="12805" width="4.46484375" style="27" hidden="1"/>
    <col min="12806" max="12806" width="6.53125" style="27" hidden="1"/>
    <col min="12807" max="12807" width="8" style="27" hidden="1"/>
    <col min="12808" max="12808" width="2" style="27" hidden="1"/>
    <col min="12809" max="12809" width="16.796875" style="27" hidden="1"/>
    <col min="12810" max="12810" width="6.796875" style="27" hidden="1"/>
    <col min="12811" max="12811" width="6.46484375" style="27" hidden="1"/>
    <col min="12812" max="12812" width="11" style="27" hidden="1"/>
    <col min="12813" max="12813" width="12" style="27" hidden="1"/>
    <col min="12814" max="12814" width="12.53125" style="27" hidden="1"/>
    <col min="12815" max="13056" width="8.73046875" style="27" hidden="1"/>
    <col min="13057" max="13057" width="1.796875" style="27" hidden="1"/>
    <col min="13058" max="13058" width="6.73046875" style="27" hidden="1"/>
    <col min="13059" max="13059" width="7" style="27" hidden="1"/>
    <col min="13060" max="13060" width="1.265625" style="27" hidden="1"/>
    <col min="13061" max="13061" width="4.46484375" style="27" hidden="1"/>
    <col min="13062" max="13062" width="6.53125" style="27" hidden="1"/>
    <col min="13063" max="13063" width="8" style="27" hidden="1"/>
    <col min="13064" max="13064" width="2" style="27" hidden="1"/>
    <col min="13065" max="13065" width="16.796875" style="27" hidden="1"/>
    <col min="13066" max="13066" width="6.796875" style="27" hidden="1"/>
    <col min="13067" max="13067" width="6.46484375" style="27" hidden="1"/>
    <col min="13068" max="13068" width="11" style="27" hidden="1"/>
    <col min="13069" max="13069" width="12" style="27" hidden="1"/>
    <col min="13070" max="13070" width="12.53125" style="27" hidden="1"/>
    <col min="13071" max="13312" width="8.73046875" style="27" hidden="1"/>
    <col min="13313" max="13313" width="1.796875" style="27" hidden="1"/>
    <col min="13314" max="13314" width="6.73046875" style="27" hidden="1"/>
    <col min="13315" max="13315" width="7" style="27" hidden="1"/>
    <col min="13316" max="13316" width="1.265625" style="27" hidden="1"/>
    <col min="13317" max="13317" width="4.46484375" style="27" hidden="1"/>
    <col min="13318" max="13318" width="6.53125" style="27" hidden="1"/>
    <col min="13319" max="13319" width="8" style="27" hidden="1"/>
    <col min="13320" max="13320" width="2" style="27" hidden="1"/>
    <col min="13321" max="13321" width="16.796875" style="27" hidden="1"/>
    <col min="13322" max="13322" width="6.796875" style="27" hidden="1"/>
    <col min="13323" max="13323" width="6.46484375" style="27" hidden="1"/>
    <col min="13324" max="13324" width="11" style="27" hidden="1"/>
    <col min="13325" max="13325" width="12" style="27" hidden="1"/>
    <col min="13326" max="13326" width="12.53125" style="27" hidden="1"/>
    <col min="13327" max="13568" width="8.73046875" style="27" hidden="1"/>
    <col min="13569" max="13569" width="1.796875" style="27" hidden="1"/>
    <col min="13570" max="13570" width="6.73046875" style="27" hidden="1"/>
    <col min="13571" max="13571" width="7" style="27" hidden="1"/>
    <col min="13572" max="13572" width="1.265625" style="27" hidden="1"/>
    <col min="13573" max="13573" width="4.46484375" style="27" hidden="1"/>
    <col min="13574" max="13574" width="6.53125" style="27" hidden="1"/>
    <col min="13575" max="13575" width="8" style="27" hidden="1"/>
    <col min="13576" max="13576" width="2" style="27" hidden="1"/>
    <col min="13577" max="13577" width="16.796875" style="27" hidden="1"/>
    <col min="13578" max="13578" width="6.796875" style="27" hidden="1"/>
    <col min="13579" max="13579" width="6.46484375" style="27" hidden="1"/>
    <col min="13580" max="13580" width="11" style="27" hidden="1"/>
    <col min="13581" max="13581" width="12" style="27" hidden="1"/>
    <col min="13582" max="13582" width="12.53125" style="27" hidden="1"/>
    <col min="13583" max="13824" width="8.73046875" style="27" hidden="1"/>
    <col min="13825" max="13825" width="1.796875" style="27" hidden="1"/>
    <col min="13826" max="13826" width="6.73046875" style="27" hidden="1"/>
    <col min="13827" max="13827" width="7" style="27" hidden="1"/>
    <col min="13828" max="13828" width="1.265625" style="27" hidden="1"/>
    <col min="13829" max="13829" width="4.46484375" style="27" hidden="1"/>
    <col min="13830" max="13830" width="6.53125" style="27" hidden="1"/>
    <col min="13831" max="13831" width="8" style="27" hidden="1"/>
    <col min="13832" max="13832" width="2" style="27" hidden="1"/>
    <col min="13833" max="13833" width="16.796875" style="27" hidden="1"/>
    <col min="13834" max="13834" width="6.796875" style="27" hidden="1"/>
    <col min="13835" max="13835" width="6.46484375" style="27" hidden="1"/>
    <col min="13836" max="13836" width="11" style="27" hidden="1"/>
    <col min="13837" max="13837" width="12" style="27" hidden="1"/>
    <col min="13838" max="13838" width="12.53125" style="27" hidden="1"/>
    <col min="13839" max="14080" width="8.73046875" style="27" hidden="1"/>
    <col min="14081" max="14081" width="1.796875" style="27" hidden="1"/>
    <col min="14082" max="14082" width="6.73046875" style="27" hidden="1"/>
    <col min="14083" max="14083" width="7" style="27" hidden="1"/>
    <col min="14084" max="14084" width="1.265625" style="27" hidden="1"/>
    <col min="14085" max="14085" width="4.46484375" style="27" hidden="1"/>
    <col min="14086" max="14086" width="6.53125" style="27" hidden="1"/>
    <col min="14087" max="14087" width="8" style="27" hidden="1"/>
    <col min="14088" max="14088" width="2" style="27" hidden="1"/>
    <col min="14089" max="14089" width="16.796875" style="27" hidden="1"/>
    <col min="14090" max="14090" width="6.796875" style="27" hidden="1"/>
    <col min="14091" max="14091" width="6.46484375" style="27" hidden="1"/>
    <col min="14092" max="14092" width="11" style="27" hidden="1"/>
    <col min="14093" max="14093" width="12" style="27" hidden="1"/>
    <col min="14094" max="14094" width="12.53125" style="27" hidden="1"/>
    <col min="14095" max="14336" width="8.73046875" style="27" hidden="1"/>
    <col min="14337" max="14337" width="1.796875" style="27" hidden="1"/>
    <col min="14338" max="14338" width="6.73046875" style="27" hidden="1"/>
    <col min="14339" max="14339" width="7" style="27" hidden="1"/>
    <col min="14340" max="14340" width="1.265625" style="27" hidden="1"/>
    <col min="14341" max="14341" width="4.46484375" style="27" hidden="1"/>
    <col min="14342" max="14342" width="6.53125" style="27" hidden="1"/>
    <col min="14343" max="14343" width="8" style="27" hidden="1"/>
    <col min="14344" max="14344" width="2" style="27" hidden="1"/>
    <col min="14345" max="14345" width="16.796875" style="27" hidden="1"/>
    <col min="14346" max="14346" width="6.796875" style="27" hidden="1"/>
    <col min="14347" max="14347" width="6.46484375" style="27" hidden="1"/>
    <col min="14348" max="14348" width="11" style="27" hidden="1"/>
    <col min="14349" max="14349" width="12" style="27" hidden="1"/>
    <col min="14350" max="14350" width="12.53125" style="27" hidden="1"/>
    <col min="14351" max="14592" width="8.73046875" style="27" hidden="1"/>
    <col min="14593" max="14593" width="1.796875" style="27" hidden="1"/>
    <col min="14594" max="14594" width="6.73046875" style="27" hidden="1"/>
    <col min="14595" max="14595" width="7" style="27" hidden="1"/>
    <col min="14596" max="14596" width="1.265625" style="27" hidden="1"/>
    <col min="14597" max="14597" width="4.46484375" style="27" hidden="1"/>
    <col min="14598" max="14598" width="6.53125" style="27" hidden="1"/>
    <col min="14599" max="14599" width="8" style="27" hidden="1"/>
    <col min="14600" max="14600" width="2" style="27" hidden="1"/>
    <col min="14601" max="14601" width="16.796875" style="27" hidden="1"/>
    <col min="14602" max="14602" width="6.796875" style="27" hidden="1"/>
    <col min="14603" max="14603" width="6.46484375" style="27" hidden="1"/>
    <col min="14604" max="14604" width="11" style="27" hidden="1"/>
    <col min="14605" max="14605" width="12" style="27" hidden="1"/>
    <col min="14606" max="14606" width="12.53125" style="27" hidden="1"/>
    <col min="14607" max="14848" width="8.73046875" style="27" hidden="1"/>
    <col min="14849" max="14849" width="1.796875" style="27" hidden="1"/>
    <col min="14850" max="14850" width="6.73046875" style="27" hidden="1"/>
    <col min="14851" max="14851" width="7" style="27" hidden="1"/>
    <col min="14852" max="14852" width="1.265625" style="27" hidden="1"/>
    <col min="14853" max="14853" width="4.46484375" style="27" hidden="1"/>
    <col min="14854" max="14854" width="6.53125" style="27" hidden="1"/>
    <col min="14855" max="14855" width="8" style="27" hidden="1"/>
    <col min="14856" max="14856" width="2" style="27" hidden="1"/>
    <col min="14857" max="14857" width="16.796875" style="27" hidden="1"/>
    <col min="14858" max="14858" width="6.796875" style="27" hidden="1"/>
    <col min="14859" max="14859" width="6.46484375" style="27" hidden="1"/>
    <col min="14860" max="14860" width="11" style="27" hidden="1"/>
    <col min="14861" max="14861" width="12" style="27" hidden="1"/>
    <col min="14862" max="14862" width="12.53125" style="27" hidden="1"/>
    <col min="14863" max="15104" width="8.73046875" style="27" hidden="1"/>
    <col min="15105" max="15105" width="1.796875" style="27" hidden="1"/>
    <col min="15106" max="15106" width="6.73046875" style="27" hidden="1"/>
    <col min="15107" max="15107" width="7" style="27" hidden="1"/>
    <col min="15108" max="15108" width="1.265625" style="27" hidden="1"/>
    <col min="15109" max="15109" width="4.46484375" style="27" hidden="1"/>
    <col min="15110" max="15110" width="6.53125" style="27" hidden="1"/>
    <col min="15111" max="15111" width="8" style="27" hidden="1"/>
    <col min="15112" max="15112" width="2" style="27" hidden="1"/>
    <col min="15113" max="15113" width="16.796875" style="27" hidden="1"/>
    <col min="15114" max="15114" width="6.796875" style="27" hidden="1"/>
    <col min="15115" max="15115" width="6.46484375" style="27" hidden="1"/>
    <col min="15116" max="15116" width="11" style="27" hidden="1"/>
    <col min="15117" max="15117" width="12" style="27" hidden="1"/>
    <col min="15118" max="15118" width="12.53125" style="27" hidden="1"/>
    <col min="15119" max="15360" width="8.73046875" style="27" hidden="1"/>
    <col min="15361" max="15361" width="1.796875" style="27" hidden="1"/>
    <col min="15362" max="15362" width="6.73046875" style="27" hidden="1"/>
    <col min="15363" max="15363" width="7" style="27" hidden="1"/>
    <col min="15364" max="15364" width="1.265625" style="27" hidden="1"/>
    <col min="15365" max="15365" width="4.46484375" style="27" hidden="1"/>
    <col min="15366" max="15366" width="6.53125" style="27" hidden="1"/>
    <col min="15367" max="15367" width="8" style="27" hidden="1"/>
    <col min="15368" max="15368" width="2" style="27" hidden="1"/>
    <col min="15369" max="15369" width="16.796875" style="27" hidden="1"/>
    <col min="15370" max="15370" width="6.796875" style="27" hidden="1"/>
    <col min="15371" max="15371" width="6.46484375" style="27" hidden="1"/>
    <col min="15372" max="15372" width="11" style="27" hidden="1"/>
    <col min="15373" max="15373" width="12" style="27" hidden="1"/>
    <col min="15374" max="15374" width="12.53125" style="27" hidden="1"/>
    <col min="15375" max="15616" width="8.73046875" style="27" hidden="1"/>
    <col min="15617" max="15617" width="1.796875" style="27" hidden="1"/>
    <col min="15618" max="15618" width="6.73046875" style="27" hidden="1"/>
    <col min="15619" max="15619" width="7" style="27" hidden="1"/>
    <col min="15620" max="15620" width="1.265625" style="27" hidden="1"/>
    <col min="15621" max="15621" width="4.46484375" style="27" hidden="1"/>
    <col min="15622" max="15622" width="6.53125" style="27" hidden="1"/>
    <col min="15623" max="15623" width="8" style="27" hidden="1"/>
    <col min="15624" max="15624" width="2" style="27" hidden="1"/>
    <col min="15625" max="15625" width="16.796875" style="27" hidden="1"/>
    <col min="15626" max="15626" width="6.796875" style="27" hidden="1"/>
    <col min="15627" max="15627" width="6.46484375" style="27" hidden="1"/>
    <col min="15628" max="15628" width="11" style="27" hidden="1"/>
    <col min="15629" max="15629" width="12" style="27" hidden="1"/>
    <col min="15630" max="15630" width="12.53125" style="27" hidden="1"/>
    <col min="15631" max="15872" width="8.73046875" style="27" hidden="1"/>
    <col min="15873" max="15873" width="1.796875" style="27" hidden="1"/>
    <col min="15874" max="15874" width="6.73046875" style="27" hidden="1"/>
    <col min="15875" max="15875" width="7" style="27" hidden="1"/>
    <col min="15876" max="15876" width="1.265625" style="27" hidden="1"/>
    <col min="15877" max="15877" width="4.46484375" style="27" hidden="1"/>
    <col min="15878" max="15878" width="6.53125" style="27" hidden="1"/>
    <col min="15879" max="15879" width="8" style="27" hidden="1"/>
    <col min="15880" max="15880" width="2" style="27" hidden="1"/>
    <col min="15881" max="15881" width="16.796875" style="27" hidden="1"/>
    <col min="15882" max="15882" width="6.796875" style="27" hidden="1"/>
    <col min="15883" max="15883" width="6.46484375" style="27" hidden="1"/>
    <col min="15884" max="15884" width="11" style="27" hidden="1"/>
    <col min="15885" max="15885" width="12" style="27" hidden="1"/>
    <col min="15886" max="15886" width="12.53125" style="27" hidden="1"/>
    <col min="15887" max="16128" width="8.73046875" style="27" hidden="1"/>
    <col min="16129" max="16129" width="1.796875" style="27" hidden="1"/>
    <col min="16130" max="16130" width="6.73046875" style="27" hidden="1"/>
    <col min="16131" max="16131" width="7" style="27" hidden="1"/>
    <col min="16132" max="16132" width="1.265625" style="27" hidden="1"/>
    <col min="16133" max="16133" width="4.46484375" style="27" hidden="1"/>
    <col min="16134" max="16134" width="6.53125" style="27" hidden="1"/>
    <col min="16135" max="16135" width="8" style="27" hidden="1"/>
    <col min="16136" max="16136" width="2" style="27" hidden="1"/>
    <col min="16137" max="16137" width="16.796875" style="27" hidden="1"/>
    <col min="16138" max="16138" width="6.796875" style="27" hidden="1"/>
    <col min="16139" max="16139" width="6.46484375" style="27" hidden="1"/>
    <col min="16140" max="16140" width="11" style="27" hidden="1"/>
    <col min="16141" max="16141" width="12" style="27" hidden="1"/>
    <col min="16142" max="16142" width="12.53125" style="27" hidden="1"/>
    <col min="16143" max="16384" width="8.73046875" style="27" hidden="1"/>
  </cols>
  <sheetData>
    <row r="1" spans="2:14" ht="40.049999999999997" customHeight="1" thickBot="1" x14ac:dyDescent="0.4"/>
    <row r="2" spans="2:14" ht="12.7" customHeight="1" x14ac:dyDescent="0.35">
      <c r="B2" s="289"/>
      <c r="C2" s="290"/>
      <c r="D2" s="290"/>
      <c r="E2" s="290"/>
      <c r="F2" s="290"/>
      <c r="G2" s="290"/>
      <c r="H2" s="290"/>
      <c r="I2" s="290"/>
      <c r="J2" s="290"/>
      <c r="K2" s="290"/>
      <c r="L2" s="290"/>
      <c r="M2" s="290"/>
      <c r="N2" s="291"/>
    </row>
    <row r="3" spans="2:14" ht="12.7" customHeight="1" x14ac:dyDescent="0.35">
      <c r="B3" s="130"/>
      <c r="C3" s="134"/>
      <c r="D3" s="134"/>
      <c r="E3" s="134"/>
      <c r="F3" s="134"/>
      <c r="G3" s="295" t="s">
        <v>0</v>
      </c>
      <c r="H3" s="295"/>
      <c r="I3" s="295"/>
      <c r="J3" s="295"/>
      <c r="K3" s="295"/>
      <c r="L3" s="295"/>
      <c r="M3" s="134"/>
      <c r="N3" s="132"/>
    </row>
    <row r="4" spans="2:14" ht="12.7" customHeight="1" x14ac:dyDescent="0.35">
      <c r="B4" s="130"/>
      <c r="C4" s="135"/>
      <c r="D4" s="135"/>
      <c r="E4" s="135"/>
      <c r="F4" s="135"/>
      <c r="G4" s="296" t="s">
        <v>1</v>
      </c>
      <c r="H4" s="296"/>
      <c r="I4" s="296"/>
      <c r="J4" s="296"/>
      <c r="K4" s="296"/>
      <c r="L4" s="296"/>
      <c r="M4" s="135"/>
      <c r="N4" s="133"/>
    </row>
    <row r="5" spans="2:14" ht="12.7" customHeight="1" x14ac:dyDescent="0.35">
      <c r="B5" s="130"/>
      <c r="C5" s="135"/>
      <c r="D5" s="135"/>
      <c r="E5" s="135"/>
      <c r="F5" s="135"/>
      <c r="G5" s="296" t="s">
        <v>6</v>
      </c>
      <c r="H5" s="296"/>
      <c r="I5" s="296"/>
      <c r="J5" s="296"/>
      <c r="K5" s="296"/>
      <c r="L5" s="296"/>
      <c r="M5" s="135"/>
      <c r="N5" s="133"/>
    </row>
    <row r="6" spans="2:14" ht="12.7" customHeight="1" x14ac:dyDescent="0.35">
      <c r="B6" s="130"/>
      <c r="C6" s="134"/>
      <c r="D6" s="134"/>
      <c r="E6" s="134"/>
      <c r="F6" s="134"/>
      <c r="G6" s="295" t="s">
        <v>2</v>
      </c>
      <c r="H6" s="295"/>
      <c r="I6" s="295"/>
      <c r="J6" s="295"/>
      <c r="K6" s="295"/>
      <c r="L6" s="295"/>
      <c r="M6" s="134"/>
      <c r="N6" s="132"/>
    </row>
    <row r="7" spans="2:14" ht="12.7" customHeight="1" x14ac:dyDescent="0.35">
      <c r="B7" s="130"/>
      <c r="C7" s="134"/>
      <c r="D7" s="134"/>
      <c r="E7" s="134"/>
      <c r="F7" s="134"/>
      <c r="G7" s="295" t="s">
        <v>86</v>
      </c>
      <c r="H7" s="295"/>
      <c r="I7" s="295"/>
      <c r="J7" s="295"/>
      <c r="K7" s="295"/>
      <c r="L7" s="295"/>
      <c r="M7" s="134"/>
      <c r="N7" s="132"/>
    </row>
    <row r="8" spans="2:14" ht="12.7" customHeight="1" x14ac:dyDescent="0.35">
      <c r="B8" s="200"/>
      <c r="C8" s="201"/>
      <c r="D8" s="201"/>
      <c r="E8" s="201"/>
      <c r="F8" s="201"/>
      <c r="G8" s="296" t="s">
        <v>136</v>
      </c>
      <c r="H8" s="296"/>
      <c r="I8" s="296"/>
      <c r="J8" s="296"/>
      <c r="K8" s="296"/>
      <c r="L8" s="296"/>
      <c r="M8" s="201"/>
      <c r="N8" s="202"/>
    </row>
    <row r="9" spans="2:14" ht="12.7" customHeight="1" thickBot="1" x14ac:dyDescent="0.4">
      <c r="B9" s="136"/>
      <c r="C9" s="137"/>
      <c r="D9" s="137"/>
      <c r="E9" s="137"/>
      <c r="F9" s="137"/>
      <c r="G9" s="137"/>
      <c r="H9" s="137"/>
      <c r="I9" s="137"/>
      <c r="J9" s="137"/>
      <c r="K9" s="137"/>
      <c r="L9" s="137"/>
      <c r="M9" s="137"/>
      <c r="N9" s="138"/>
    </row>
    <row r="10" spans="2:14" ht="12.7" customHeight="1" x14ac:dyDescent="0.35">
      <c r="B10" s="314" t="s">
        <v>59</v>
      </c>
      <c r="C10" s="315"/>
      <c r="D10" s="315"/>
      <c r="E10" s="315"/>
      <c r="F10" s="315"/>
      <c r="G10" s="315"/>
      <c r="H10" s="315"/>
      <c r="I10" s="315"/>
      <c r="J10" s="315"/>
      <c r="K10" s="316"/>
      <c r="L10" s="354" t="s">
        <v>58</v>
      </c>
      <c r="M10" s="355"/>
      <c r="N10" s="356"/>
    </row>
    <row r="11" spans="2:14" ht="12.7" customHeight="1" x14ac:dyDescent="0.35">
      <c r="B11" s="317"/>
      <c r="C11" s="318"/>
      <c r="D11" s="318"/>
      <c r="E11" s="318"/>
      <c r="F11" s="318"/>
      <c r="G11" s="318"/>
      <c r="H11" s="318"/>
      <c r="I11" s="318"/>
      <c r="J11" s="318"/>
      <c r="K11" s="319"/>
      <c r="L11" s="311" t="s">
        <v>60</v>
      </c>
      <c r="M11" s="312"/>
      <c r="N11" s="313"/>
    </row>
    <row r="12" spans="2:14" ht="12.7" customHeight="1" thickBot="1" x14ac:dyDescent="0.4">
      <c r="B12" s="317"/>
      <c r="C12" s="318"/>
      <c r="D12" s="318"/>
      <c r="E12" s="318"/>
      <c r="F12" s="318"/>
      <c r="G12" s="318"/>
      <c r="H12" s="318"/>
      <c r="I12" s="318"/>
      <c r="J12" s="318"/>
      <c r="K12" s="319"/>
      <c r="L12" s="311" t="str">
        <f>"Fund Cluster: " &amp; Input!C8</f>
        <v>Fund Cluster: 1</v>
      </c>
      <c r="M12" s="312"/>
      <c r="N12" s="313"/>
    </row>
    <row r="13" spans="2:14" s="28" customFormat="1" ht="12.7" customHeight="1" x14ac:dyDescent="0.45">
      <c r="B13" s="320" t="s">
        <v>21</v>
      </c>
      <c r="C13" s="321"/>
      <c r="D13" s="322"/>
      <c r="E13" s="326" t="str">
        <f>Input!C2</f>
        <v>James E. Rosales</v>
      </c>
      <c r="F13" s="327"/>
      <c r="G13" s="327"/>
      <c r="H13" s="327"/>
      <c r="I13" s="327"/>
      <c r="J13" s="327"/>
      <c r="K13" s="327"/>
      <c r="L13" s="327"/>
      <c r="M13" s="327"/>
      <c r="N13" s="328"/>
    </row>
    <row r="14" spans="2:14" s="28" customFormat="1" ht="12.7" customHeight="1" thickBot="1" x14ac:dyDescent="0.5">
      <c r="B14" s="323"/>
      <c r="C14" s="324"/>
      <c r="D14" s="325"/>
      <c r="E14" s="329"/>
      <c r="F14" s="330"/>
      <c r="G14" s="330"/>
      <c r="H14" s="330"/>
      <c r="I14" s="330"/>
      <c r="J14" s="330"/>
      <c r="K14" s="330"/>
      <c r="L14" s="330"/>
      <c r="M14" s="330"/>
      <c r="N14" s="331"/>
    </row>
    <row r="15" spans="2:14" s="28" customFormat="1" ht="12.7" customHeight="1" x14ac:dyDescent="0.45">
      <c r="B15" s="320" t="s">
        <v>61</v>
      </c>
      <c r="C15" s="321"/>
      <c r="D15" s="322"/>
      <c r="E15" s="326" t="str">
        <f>Input!C10</f>
        <v>Department of Agriculture Regional Field Office XIII</v>
      </c>
      <c r="F15" s="327"/>
      <c r="G15" s="327"/>
      <c r="H15" s="327"/>
      <c r="I15" s="327"/>
      <c r="J15" s="327"/>
      <c r="K15" s="327"/>
      <c r="L15" s="327"/>
      <c r="M15" s="327"/>
      <c r="N15" s="328"/>
    </row>
    <row r="16" spans="2:14" s="28" customFormat="1" ht="12.7" customHeight="1" thickBot="1" x14ac:dyDescent="0.5">
      <c r="B16" s="323"/>
      <c r="C16" s="324"/>
      <c r="D16" s="325"/>
      <c r="E16" s="329"/>
      <c r="F16" s="330"/>
      <c r="G16" s="330"/>
      <c r="H16" s="330"/>
      <c r="I16" s="330"/>
      <c r="J16" s="330"/>
      <c r="K16" s="330"/>
      <c r="L16" s="330"/>
      <c r="M16" s="330"/>
      <c r="N16" s="331"/>
    </row>
    <row r="17" spans="2:14" s="28" customFormat="1" ht="12.7" customHeight="1" x14ac:dyDescent="0.45">
      <c r="B17" s="320" t="str">
        <f>"FOR PAYMENT:" &amp; CHAR(10) &amp; CHAR(10) &amp; "For reimbursement of travel expenses incurred during official travel from " &amp; TEXT(Input!C13, "mmmm d, yyyy") &amp; ", per Travel Order Nos. " &amp; Input!C14 &amp; ", with supporting documents hereto attached in the amount of ..."</f>
        <v>FOR PAYMENT:
For reimbursement of travel expenses incurred during official travel from Sept. 8-10, Sept. 15-17, and Sept. 22-24, 2026, per Travel Order Nos. 0926-0573, 0926-1268, and 0926-1522, with supporting documents hereto attached in the amount of ...</v>
      </c>
      <c r="C17" s="321"/>
      <c r="D17" s="322"/>
      <c r="E17" s="326" t="str">
        <f>Input!C11</f>
        <v>Capitol Site, Butuan City, Agusan del Norte</v>
      </c>
      <c r="F17" s="327"/>
      <c r="G17" s="327"/>
      <c r="H17" s="327"/>
      <c r="I17" s="327"/>
      <c r="J17" s="327"/>
      <c r="K17" s="327"/>
      <c r="L17" s="327"/>
      <c r="M17" s="327"/>
      <c r="N17" s="328"/>
    </row>
    <row r="18" spans="2:14" s="28" customFormat="1" ht="12.7" customHeight="1" thickBot="1" x14ac:dyDescent="0.5">
      <c r="B18" s="323"/>
      <c r="C18" s="324"/>
      <c r="D18" s="325"/>
      <c r="E18" s="329"/>
      <c r="F18" s="330"/>
      <c r="G18" s="330"/>
      <c r="H18" s="330"/>
      <c r="I18" s="330"/>
      <c r="J18" s="330"/>
      <c r="K18" s="330"/>
      <c r="L18" s="330"/>
      <c r="M18" s="330"/>
      <c r="N18" s="331"/>
    </row>
    <row r="19" spans="2:14" ht="12.4" customHeight="1" x14ac:dyDescent="0.35">
      <c r="B19" s="320" t="s">
        <v>25</v>
      </c>
      <c r="C19" s="321"/>
      <c r="D19" s="322"/>
      <c r="E19" s="335" t="s">
        <v>24</v>
      </c>
      <c r="F19" s="336"/>
      <c r="G19" s="336"/>
      <c r="H19" s="336"/>
      <c r="I19" s="337"/>
      <c r="J19" s="344" t="s">
        <v>26</v>
      </c>
      <c r="K19" s="345"/>
      <c r="L19" s="139" t="s">
        <v>125</v>
      </c>
      <c r="M19" s="335" t="s">
        <v>27</v>
      </c>
      <c r="N19" s="350"/>
    </row>
    <row r="20" spans="2:14" ht="15.75" customHeight="1" x14ac:dyDescent="0.35">
      <c r="B20" s="332"/>
      <c r="C20" s="333"/>
      <c r="D20" s="334"/>
      <c r="E20" s="338"/>
      <c r="F20" s="339"/>
      <c r="G20" s="339"/>
      <c r="H20" s="339"/>
      <c r="I20" s="340"/>
      <c r="J20" s="346"/>
      <c r="K20" s="347"/>
      <c r="L20" s="140" t="s">
        <v>62</v>
      </c>
      <c r="M20" s="338"/>
      <c r="N20" s="351"/>
    </row>
    <row r="21" spans="2:14" ht="18.399999999999999" customHeight="1" thickBot="1" x14ac:dyDescent="0.4">
      <c r="B21" s="323"/>
      <c r="C21" s="324"/>
      <c r="D21" s="325"/>
      <c r="E21" s="341"/>
      <c r="F21" s="342"/>
      <c r="G21" s="342"/>
      <c r="H21" s="342"/>
      <c r="I21" s="343"/>
      <c r="J21" s="348"/>
      <c r="K21" s="349"/>
      <c r="L21" s="141" t="s">
        <v>63</v>
      </c>
      <c r="M21" s="352"/>
      <c r="N21" s="353"/>
    </row>
    <row r="22" spans="2:14" ht="12.7" customHeight="1" x14ac:dyDescent="0.35">
      <c r="B22" s="297"/>
      <c r="C22" s="298"/>
      <c r="D22" s="299"/>
      <c r="E22" s="375" t="str">
        <f>"TO OBLIGATE:" &amp; CHAR(10) &amp; CHAR(10) &amp; "Travel expenses incurred during official travel for the month of  " &amp; Input!C12 &amp; " , pursuant to Travel Order Nos. " &amp; Input!C14 &amp; " dated " &amp; TEXT(Input!C13, "mmmm d, yyyy") &amp; " with supporting documents hereto attached in the amount of ..." &amp; CHAR(10) &amp; CHAR(10) &amp; "Charged to: " &amp; Input!C19 &amp; ""</f>
        <v>TO OBLIGATE:
Travel expenses incurred during official travel for the month of  September 2026 , pursuant to Travel Order Nos. 0926-0573, 0926-1268, and 0926-1522 dated Sept. 8-10, Sept. 15-17, and Sept. 22-24, 2026 with supporting documents hereto attached in the amount of ...
Charged to: Agricultural Statistics Funds</v>
      </c>
      <c r="F22" s="376"/>
      <c r="G22" s="376"/>
      <c r="H22" s="376"/>
      <c r="I22" s="377"/>
      <c r="J22" s="363"/>
      <c r="K22" s="364"/>
      <c r="L22" s="372"/>
      <c r="M22" s="357">
        <f>Input!C18</f>
        <v>5160</v>
      </c>
      <c r="N22" s="358"/>
    </row>
    <row r="23" spans="2:14" ht="15.75" customHeight="1" x14ac:dyDescent="0.35">
      <c r="B23" s="300"/>
      <c r="C23" s="301"/>
      <c r="D23" s="302"/>
      <c r="E23" s="378"/>
      <c r="F23" s="379"/>
      <c r="G23" s="379"/>
      <c r="H23" s="379"/>
      <c r="I23" s="380"/>
      <c r="J23" s="365"/>
      <c r="K23" s="366"/>
      <c r="L23" s="373"/>
      <c r="M23" s="359"/>
      <c r="N23" s="360"/>
    </row>
    <row r="24" spans="2:14" ht="12.7" customHeight="1" x14ac:dyDescent="0.35">
      <c r="B24" s="300"/>
      <c r="C24" s="301"/>
      <c r="D24" s="302"/>
      <c r="E24" s="378"/>
      <c r="F24" s="379"/>
      <c r="G24" s="379"/>
      <c r="H24" s="379"/>
      <c r="I24" s="380"/>
      <c r="J24" s="365"/>
      <c r="K24" s="366"/>
      <c r="L24" s="373"/>
      <c r="M24" s="359"/>
      <c r="N24" s="360"/>
    </row>
    <row r="25" spans="2:14" ht="16.5" customHeight="1" x14ac:dyDescent="0.35">
      <c r="B25" s="300"/>
      <c r="C25" s="301"/>
      <c r="D25" s="302"/>
      <c r="E25" s="378"/>
      <c r="F25" s="379"/>
      <c r="G25" s="379"/>
      <c r="H25" s="379"/>
      <c r="I25" s="380"/>
      <c r="J25" s="365"/>
      <c r="K25" s="366"/>
      <c r="L25" s="373"/>
      <c r="M25" s="359"/>
      <c r="N25" s="360"/>
    </row>
    <row r="26" spans="2:14" ht="16.5" customHeight="1" x14ac:dyDescent="0.35">
      <c r="B26" s="300"/>
      <c r="C26" s="301"/>
      <c r="D26" s="302"/>
      <c r="E26" s="378"/>
      <c r="F26" s="379"/>
      <c r="G26" s="379"/>
      <c r="H26" s="379"/>
      <c r="I26" s="380"/>
      <c r="J26" s="365"/>
      <c r="K26" s="366"/>
      <c r="L26" s="373"/>
      <c r="M26" s="359"/>
      <c r="N26" s="360"/>
    </row>
    <row r="27" spans="2:14" ht="59.2" customHeight="1" thickBot="1" x14ac:dyDescent="0.4">
      <c r="B27" s="303"/>
      <c r="C27" s="304"/>
      <c r="D27" s="305"/>
      <c r="E27" s="381"/>
      <c r="F27" s="382"/>
      <c r="G27" s="382"/>
      <c r="H27" s="382"/>
      <c r="I27" s="383"/>
      <c r="J27" s="367"/>
      <c r="K27" s="368"/>
      <c r="L27" s="374"/>
      <c r="M27" s="361"/>
      <c r="N27" s="362"/>
    </row>
    <row r="28" spans="2:14" ht="19.5" customHeight="1" thickBot="1" x14ac:dyDescent="0.4">
      <c r="B28" s="369" t="s">
        <v>5</v>
      </c>
      <c r="C28" s="370"/>
      <c r="D28" s="370"/>
      <c r="E28" s="370"/>
      <c r="F28" s="370"/>
      <c r="G28" s="370"/>
      <c r="H28" s="370"/>
      <c r="I28" s="370"/>
      <c r="J28" s="370"/>
      <c r="K28" s="370"/>
      <c r="L28" s="371"/>
      <c r="M28" s="309">
        <f>M22</f>
        <v>5160</v>
      </c>
      <c r="N28" s="310"/>
    </row>
    <row r="29" spans="2:14" ht="14.25" customHeight="1" x14ac:dyDescent="0.35">
      <c r="B29" s="385" t="s">
        <v>64</v>
      </c>
      <c r="C29" s="145" t="s">
        <v>65</v>
      </c>
      <c r="D29" s="145"/>
      <c r="E29" s="146"/>
      <c r="F29" s="147"/>
      <c r="G29" s="147"/>
      <c r="H29" s="147"/>
      <c r="I29" s="148"/>
      <c r="J29" s="385" t="s">
        <v>66</v>
      </c>
      <c r="K29" s="145" t="s">
        <v>67</v>
      </c>
      <c r="L29" s="142"/>
      <c r="M29" s="142"/>
      <c r="N29" s="143"/>
    </row>
    <row r="30" spans="2:14" ht="15.75" customHeight="1" thickBot="1" x14ac:dyDescent="0.4">
      <c r="B30" s="386"/>
      <c r="C30" s="306" t="s">
        <v>68</v>
      </c>
      <c r="D30" s="307"/>
      <c r="E30" s="307"/>
      <c r="F30" s="307"/>
      <c r="G30" s="307"/>
      <c r="H30" s="307"/>
      <c r="I30" s="308"/>
      <c r="J30" s="386"/>
      <c r="K30" s="134" t="s">
        <v>69</v>
      </c>
      <c r="L30" s="134"/>
      <c r="M30" s="134"/>
      <c r="N30" s="132"/>
    </row>
    <row r="31" spans="2:14" ht="14.25" customHeight="1" x14ac:dyDescent="0.35">
      <c r="B31" s="149"/>
      <c r="C31" s="131" t="s">
        <v>70</v>
      </c>
      <c r="D31" s="131"/>
      <c r="E31" s="131"/>
      <c r="F31" s="131"/>
      <c r="G31" s="131"/>
      <c r="H31" s="131"/>
      <c r="I31" s="132"/>
      <c r="J31" s="130"/>
      <c r="K31" s="134" t="s">
        <v>71</v>
      </c>
      <c r="L31" s="134"/>
      <c r="M31" s="134"/>
      <c r="N31" s="132"/>
    </row>
    <row r="32" spans="2:14" ht="12.7" customHeight="1" x14ac:dyDescent="0.35">
      <c r="B32" s="149"/>
      <c r="C32" s="131"/>
      <c r="D32" s="131"/>
      <c r="E32" s="131"/>
      <c r="F32" s="131"/>
      <c r="G32" s="131"/>
      <c r="H32" s="131"/>
      <c r="I32" s="132"/>
      <c r="J32" s="130"/>
      <c r="K32" s="134"/>
      <c r="L32" s="134"/>
      <c r="M32" s="134"/>
      <c r="N32" s="132"/>
    </row>
    <row r="33" spans="2:14" ht="12.7" customHeight="1" x14ac:dyDescent="0.35">
      <c r="B33" s="149"/>
      <c r="C33" s="131"/>
      <c r="D33" s="131"/>
      <c r="E33" s="131"/>
      <c r="F33" s="131"/>
      <c r="G33" s="131"/>
      <c r="H33" s="131"/>
      <c r="I33" s="132"/>
      <c r="J33" s="130"/>
      <c r="K33" s="134"/>
      <c r="L33" s="134"/>
      <c r="M33" s="134"/>
      <c r="N33" s="132"/>
    </row>
    <row r="34" spans="2:14" ht="12.7" customHeight="1" x14ac:dyDescent="0.35">
      <c r="B34" s="149"/>
      <c r="C34" s="150"/>
      <c r="D34" s="150"/>
      <c r="E34" s="150"/>
      <c r="F34" s="150"/>
      <c r="G34" s="150"/>
      <c r="H34" s="131"/>
      <c r="I34" s="132"/>
      <c r="J34" s="130"/>
      <c r="K34" s="134"/>
      <c r="L34" s="134"/>
      <c r="M34" s="134"/>
      <c r="N34" s="132"/>
    </row>
    <row r="35" spans="2:14" ht="13.5" customHeight="1" thickBot="1" x14ac:dyDescent="0.4">
      <c r="B35" s="144" t="s">
        <v>127</v>
      </c>
      <c r="C35" s="154"/>
      <c r="D35" s="387"/>
      <c r="E35" s="387"/>
      <c r="F35" s="387"/>
      <c r="G35" s="387"/>
      <c r="H35" s="387"/>
      <c r="I35" s="388"/>
      <c r="J35" s="144" t="s">
        <v>127</v>
      </c>
      <c r="K35" s="134"/>
      <c r="L35" s="389"/>
      <c r="M35" s="389"/>
      <c r="N35" s="390"/>
    </row>
    <row r="36" spans="2:14" s="28" customFormat="1" ht="15" customHeight="1" thickBot="1" x14ac:dyDescent="0.5">
      <c r="B36" s="203" t="s">
        <v>126</v>
      </c>
      <c r="C36" s="204"/>
      <c r="D36" s="391" t="str">
        <f>UPPER(Input!C16)</f>
        <v>MELODY M. GUIMARY</v>
      </c>
      <c r="E36" s="391"/>
      <c r="F36" s="391"/>
      <c r="G36" s="391"/>
      <c r="H36" s="391"/>
      <c r="I36" s="392"/>
      <c r="J36" s="203" t="s">
        <v>126</v>
      </c>
      <c r="K36" s="205"/>
      <c r="L36" s="393" t="str">
        <f>UPPER(Input!C21)</f>
        <v>FATIMA D. CAMPOS</v>
      </c>
      <c r="M36" s="393"/>
      <c r="N36" s="394"/>
    </row>
    <row r="37" spans="2:14" s="28" customFormat="1" ht="13.5" customHeight="1" thickBot="1" x14ac:dyDescent="0.5">
      <c r="B37" s="203" t="s">
        <v>128</v>
      </c>
      <c r="C37" s="204"/>
      <c r="D37" s="395" t="s">
        <v>122</v>
      </c>
      <c r="E37" s="395"/>
      <c r="F37" s="395"/>
      <c r="G37" s="395"/>
      <c r="H37" s="395"/>
      <c r="I37" s="396"/>
      <c r="J37" s="203" t="s">
        <v>128</v>
      </c>
      <c r="K37" s="205"/>
      <c r="L37" s="397" t="s">
        <v>123</v>
      </c>
      <c r="M37" s="397"/>
      <c r="N37" s="398"/>
    </row>
    <row r="38" spans="2:14" ht="15" customHeight="1" thickBot="1" x14ac:dyDescent="0.4">
      <c r="B38" s="155" t="s">
        <v>129</v>
      </c>
      <c r="C38" s="154"/>
      <c r="D38" s="399"/>
      <c r="E38" s="399"/>
      <c r="F38" s="399"/>
      <c r="G38" s="399"/>
      <c r="H38" s="399"/>
      <c r="I38" s="400"/>
      <c r="J38" s="155" t="s">
        <v>129</v>
      </c>
      <c r="K38" s="134"/>
      <c r="L38" s="401"/>
      <c r="M38" s="401"/>
      <c r="N38" s="402"/>
    </row>
    <row r="39" spans="2:14" ht="16.5" customHeight="1" thickBot="1" x14ac:dyDescent="0.4">
      <c r="B39" s="151"/>
      <c r="C39" s="152"/>
      <c r="D39" s="152"/>
      <c r="E39" s="152"/>
      <c r="F39" s="152"/>
      <c r="G39" s="152"/>
      <c r="H39" s="152"/>
      <c r="I39" s="153"/>
      <c r="J39" s="151"/>
      <c r="K39" s="152"/>
      <c r="L39" s="152"/>
      <c r="M39" s="152"/>
      <c r="N39" s="153"/>
    </row>
    <row r="40" spans="2:14" ht="18.75" customHeight="1" thickBot="1" x14ac:dyDescent="0.4">
      <c r="B40" s="160" t="s">
        <v>130</v>
      </c>
      <c r="C40" s="403" t="s">
        <v>72</v>
      </c>
      <c r="D40" s="403"/>
      <c r="E40" s="403"/>
      <c r="F40" s="403"/>
      <c r="G40" s="403"/>
      <c r="H40" s="403"/>
      <c r="I40" s="403"/>
      <c r="J40" s="403"/>
      <c r="K40" s="403"/>
      <c r="L40" s="403"/>
      <c r="M40" s="403"/>
      <c r="N40" s="403"/>
    </row>
    <row r="41" spans="2:14" ht="14.25" customHeight="1" thickBot="1" x14ac:dyDescent="0.4">
      <c r="B41" s="292" t="s">
        <v>73</v>
      </c>
      <c r="C41" s="292"/>
      <c r="D41" s="292"/>
      <c r="E41" s="292"/>
      <c r="F41" s="292"/>
      <c r="G41" s="292"/>
      <c r="H41" s="292"/>
      <c r="I41" s="292" t="s">
        <v>27</v>
      </c>
      <c r="J41" s="292"/>
      <c r="K41" s="292"/>
      <c r="L41" s="292"/>
      <c r="M41" s="292"/>
      <c r="N41" s="292"/>
    </row>
    <row r="42" spans="2:14" ht="17.25" customHeight="1" thickBot="1" x14ac:dyDescent="0.4">
      <c r="B42" s="293" t="s">
        <v>8</v>
      </c>
      <c r="C42" s="384" t="s">
        <v>24</v>
      </c>
      <c r="D42" s="384"/>
      <c r="E42" s="384"/>
      <c r="F42" s="294" t="s">
        <v>74</v>
      </c>
      <c r="G42" s="294"/>
      <c r="H42" s="294"/>
      <c r="I42" s="294" t="s">
        <v>75</v>
      </c>
      <c r="J42" s="293" t="s">
        <v>76</v>
      </c>
      <c r="K42" s="293"/>
      <c r="L42" s="293" t="s">
        <v>77</v>
      </c>
      <c r="M42" s="293" t="s">
        <v>78</v>
      </c>
      <c r="N42" s="293"/>
    </row>
    <row r="43" spans="2:14" ht="15.75" customHeight="1" thickBot="1" x14ac:dyDescent="0.4">
      <c r="B43" s="293"/>
      <c r="C43" s="384"/>
      <c r="D43" s="384"/>
      <c r="E43" s="384"/>
      <c r="F43" s="294"/>
      <c r="G43" s="294"/>
      <c r="H43" s="294"/>
      <c r="I43" s="294"/>
      <c r="J43" s="293"/>
      <c r="K43" s="293"/>
      <c r="L43" s="293"/>
      <c r="M43" s="294" t="s">
        <v>79</v>
      </c>
      <c r="N43" s="294" t="s">
        <v>80</v>
      </c>
    </row>
    <row r="44" spans="2:14" ht="15" customHeight="1" thickBot="1" x14ac:dyDescent="0.4">
      <c r="B44" s="293"/>
      <c r="C44" s="384"/>
      <c r="D44" s="384"/>
      <c r="E44" s="384"/>
      <c r="F44" s="294"/>
      <c r="G44" s="294"/>
      <c r="H44" s="294"/>
      <c r="I44" s="294"/>
      <c r="J44" s="293"/>
      <c r="K44" s="293"/>
      <c r="L44" s="293"/>
      <c r="M44" s="294"/>
      <c r="N44" s="294"/>
    </row>
    <row r="45" spans="2:14" ht="20.25" customHeight="1" thickBot="1" x14ac:dyDescent="0.4">
      <c r="B45" s="293"/>
      <c r="C45" s="384"/>
      <c r="D45" s="384"/>
      <c r="E45" s="384"/>
      <c r="F45" s="294"/>
      <c r="G45" s="294"/>
      <c r="H45" s="294"/>
      <c r="I45" s="156" t="s">
        <v>81</v>
      </c>
      <c r="J45" s="293" t="s">
        <v>82</v>
      </c>
      <c r="K45" s="293"/>
      <c r="L45" s="156" t="s">
        <v>83</v>
      </c>
      <c r="M45" s="156" t="s">
        <v>84</v>
      </c>
      <c r="N45" s="157" t="s">
        <v>85</v>
      </c>
    </row>
    <row r="46" spans="2:14" ht="12.7" customHeight="1" thickBot="1" x14ac:dyDescent="0.4">
      <c r="B46" s="158"/>
      <c r="C46" s="288"/>
      <c r="D46" s="288"/>
      <c r="E46" s="288"/>
      <c r="F46" s="288"/>
      <c r="G46" s="288"/>
      <c r="H46" s="288"/>
      <c r="I46" s="158"/>
      <c r="J46" s="287"/>
      <c r="K46" s="287"/>
      <c r="L46" s="158"/>
      <c r="M46" s="158"/>
      <c r="N46" s="159"/>
    </row>
    <row r="47" spans="2:14" ht="12.7" customHeight="1" thickBot="1" x14ac:dyDescent="0.4">
      <c r="B47" s="158"/>
      <c r="C47" s="288"/>
      <c r="D47" s="288"/>
      <c r="E47" s="288"/>
      <c r="F47" s="288"/>
      <c r="G47" s="288"/>
      <c r="H47" s="288"/>
      <c r="I47" s="158"/>
      <c r="J47" s="287"/>
      <c r="K47" s="287"/>
      <c r="L47" s="158"/>
      <c r="M47" s="158"/>
      <c r="N47" s="159"/>
    </row>
    <row r="48" spans="2:14" ht="12.7" customHeight="1" thickBot="1" x14ac:dyDescent="0.4">
      <c r="B48" s="158"/>
      <c r="C48" s="288"/>
      <c r="D48" s="288"/>
      <c r="E48" s="288"/>
      <c r="F48" s="288"/>
      <c r="G48" s="288"/>
      <c r="H48" s="288"/>
      <c r="I48" s="158"/>
      <c r="J48" s="287"/>
      <c r="K48" s="287"/>
      <c r="L48" s="158"/>
      <c r="M48" s="158"/>
      <c r="N48" s="159"/>
    </row>
    <row r="49" spans="2:14" ht="12.7" customHeight="1" thickBot="1" x14ac:dyDescent="0.4">
      <c r="B49" s="275"/>
      <c r="C49" s="288"/>
      <c r="D49" s="288"/>
      <c r="E49" s="288"/>
      <c r="F49" s="288"/>
      <c r="G49" s="288"/>
      <c r="H49" s="288"/>
      <c r="I49" s="275"/>
      <c r="J49" s="287"/>
      <c r="K49" s="287"/>
      <c r="L49" s="275"/>
      <c r="M49" s="275"/>
      <c r="N49" s="159"/>
    </row>
    <row r="50" spans="2:14" ht="12.7" customHeight="1" thickBot="1" x14ac:dyDescent="0.4">
      <c r="B50" s="275"/>
      <c r="C50" s="288"/>
      <c r="D50" s="288"/>
      <c r="E50" s="288"/>
      <c r="F50" s="288"/>
      <c r="G50" s="288"/>
      <c r="H50" s="288"/>
      <c r="I50" s="275"/>
      <c r="J50" s="287"/>
      <c r="K50" s="287"/>
      <c r="L50" s="275"/>
      <c r="M50" s="275"/>
      <c r="N50" s="159"/>
    </row>
    <row r="51" spans="2:14" ht="12.7" customHeight="1" thickBot="1" x14ac:dyDescent="0.4">
      <c r="B51" s="275"/>
      <c r="C51" s="288"/>
      <c r="D51" s="288"/>
      <c r="E51" s="288"/>
      <c r="F51" s="288"/>
      <c r="G51" s="288"/>
      <c r="H51" s="288"/>
      <c r="I51" s="275"/>
      <c r="J51" s="287"/>
      <c r="K51" s="287"/>
      <c r="L51" s="275"/>
      <c r="M51" s="275"/>
      <c r="N51" s="159"/>
    </row>
    <row r="52" spans="2:14" ht="12.7" customHeight="1" thickBot="1" x14ac:dyDescent="0.4">
      <c r="B52" s="275"/>
      <c r="C52" s="288"/>
      <c r="D52" s="288"/>
      <c r="E52" s="288"/>
      <c r="F52" s="288"/>
      <c r="G52" s="288"/>
      <c r="H52" s="288"/>
      <c r="I52" s="275"/>
      <c r="J52" s="287"/>
      <c r="K52" s="287"/>
      <c r="L52" s="275"/>
      <c r="M52" s="275"/>
      <c r="N52" s="159"/>
    </row>
    <row r="53" spans="2:14" ht="12.7" customHeight="1" thickBot="1" x14ac:dyDescent="0.4">
      <c r="B53" s="275"/>
      <c r="C53" s="288"/>
      <c r="D53" s="288"/>
      <c r="E53" s="288"/>
      <c r="F53" s="288"/>
      <c r="G53" s="288"/>
      <c r="H53" s="288"/>
      <c r="I53" s="275"/>
      <c r="J53" s="287"/>
      <c r="K53" s="287"/>
      <c r="L53" s="275"/>
      <c r="M53" s="275"/>
      <c r="N53" s="159"/>
    </row>
    <row r="54" spans="2:14" ht="12.7" customHeight="1" thickBot="1" x14ac:dyDescent="0.4">
      <c r="B54" s="275"/>
      <c r="C54" s="288"/>
      <c r="D54" s="288"/>
      <c r="E54" s="288"/>
      <c r="F54" s="288"/>
      <c r="G54" s="288"/>
      <c r="H54" s="288"/>
      <c r="I54" s="275"/>
      <c r="J54" s="287"/>
      <c r="K54" s="287"/>
      <c r="L54" s="275"/>
      <c r="M54" s="275"/>
      <c r="N54" s="159"/>
    </row>
    <row r="55" spans="2:14" ht="12.7" customHeight="1" thickBot="1" x14ac:dyDescent="0.4">
      <c r="B55" s="275"/>
      <c r="C55" s="288"/>
      <c r="D55" s="288"/>
      <c r="E55" s="288"/>
      <c r="F55" s="288"/>
      <c r="G55" s="288"/>
      <c r="H55" s="288"/>
      <c r="I55" s="275"/>
      <c r="J55" s="287"/>
      <c r="K55" s="287"/>
      <c r="L55" s="275"/>
      <c r="M55" s="275"/>
      <c r="N55" s="159"/>
    </row>
    <row r="56" spans="2:14" ht="12.7" customHeight="1" thickBot="1" x14ac:dyDescent="0.4">
      <c r="B56" s="275"/>
      <c r="C56" s="288"/>
      <c r="D56" s="288"/>
      <c r="E56" s="288"/>
      <c r="F56" s="288"/>
      <c r="G56" s="288"/>
      <c r="H56" s="288"/>
      <c r="I56" s="275"/>
      <c r="J56" s="287"/>
      <c r="K56" s="287"/>
      <c r="L56" s="275"/>
      <c r="M56" s="275"/>
      <c r="N56" s="159"/>
    </row>
    <row r="57" spans="2:14" ht="12.7" customHeight="1" thickBot="1" x14ac:dyDescent="0.4">
      <c r="B57" s="275"/>
      <c r="C57" s="288"/>
      <c r="D57" s="288"/>
      <c r="E57" s="288"/>
      <c r="F57" s="288"/>
      <c r="G57" s="288"/>
      <c r="H57" s="288"/>
      <c r="I57" s="275"/>
      <c r="J57" s="287"/>
      <c r="K57" s="287"/>
      <c r="L57" s="275"/>
      <c r="M57" s="275"/>
      <c r="N57" s="159"/>
    </row>
    <row r="58" spans="2:14" ht="12.7" customHeight="1" thickBot="1" x14ac:dyDescent="0.4">
      <c r="B58" s="275"/>
      <c r="C58" s="288"/>
      <c r="D58" s="288"/>
      <c r="E58" s="288"/>
      <c r="F58" s="288"/>
      <c r="G58" s="288"/>
      <c r="H58" s="288"/>
      <c r="I58" s="275"/>
      <c r="J58" s="287"/>
      <c r="K58" s="287"/>
      <c r="L58" s="275"/>
      <c r="M58" s="275"/>
      <c r="N58" s="159"/>
    </row>
    <row r="59" spans="2:14" ht="12.7" customHeight="1" thickBot="1" x14ac:dyDescent="0.4">
      <c r="B59" s="275"/>
      <c r="C59" s="288"/>
      <c r="D59" s="288"/>
      <c r="E59" s="288"/>
      <c r="F59" s="288"/>
      <c r="G59" s="288"/>
      <c r="H59" s="288"/>
      <c r="I59" s="275"/>
      <c r="J59" s="287"/>
      <c r="K59" s="287"/>
      <c r="L59" s="275"/>
      <c r="M59" s="275"/>
      <c r="N59" s="159"/>
    </row>
    <row r="60" spans="2:14" ht="12.7" customHeight="1" thickBot="1" x14ac:dyDescent="0.4">
      <c r="B60" s="275"/>
      <c r="C60" s="288"/>
      <c r="D60" s="288"/>
      <c r="E60" s="288"/>
      <c r="F60" s="288"/>
      <c r="G60" s="288"/>
      <c r="H60" s="288"/>
      <c r="I60" s="275"/>
      <c r="J60" s="287"/>
      <c r="K60" s="287"/>
      <c r="L60" s="275"/>
      <c r="M60" s="275"/>
      <c r="N60" s="159"/>
    </row>
    <row r="61" spans="2:14" ht="12.7" customHeight="1" thickBot="1" x14ac:dyDescent="0.4">
      <c r="B61" s="158"/>
      <c r="C61" s="288"/>
      <c r="D61" s="288"/>
      <c r="E61" s="288"/>
      <c r="F61" s="288"/>
      <c r="G61" s="288"/>
      <c r="H61" s="288"/>
      <c r="I61" s="158"/>
      <c r="J61" s="287"/>
      <c r="K61" s="287"/>
      <c r="L61" s="158"/>
      <c r="M61" s="158"/>
      <c r="N61" s="159"/>
    </row>
    <row r="62" spans="2:14" ht="12.7" customHeight="1" thickBot="1" x14ac:dyDescent="0.4">
      <c r="B62" s="158"/>
      <c r="C62" s="288"/>
      <c r="D62" s="288"/>
      <c r="E62" s="288"/>
      <c r="F62" s="288"/>
      <c r="G62" s="288"/>
      <c r="H62" s="288"/>
      <c r="I62" s="158"/>
      <c r="J62" s="287"/>
      <c r="K62" s="287"/>
      <c r="L62" s="158"/>
      <c r="M62" s="158"/>
      <c r="N62" s="159"/>
    </row>
    <row r="63" spans="2:14" ht="12.7" customHeight="1" thickBot="1" x14ac:dyDescent="0.4">
      <c r="B63" s="158"/>
      <c r="C63" s="288"/>
      <c r="D63" s="288"/>
      <c r="E63" s="288"/>
      <c r="F63" s="288"/>
      <c r="G63" s="288"/>
      <c r="H63" s="288"/>
      <c r="I63" s="158"/>
      <c r="J63" s="287"/>
      <c r="K63" s="287"/>
      <c r="L63" s="158"/>
      <c r="M63" s="158"/>
      <c r="N63" s="159"/>
    </row>
    <row r="64" spans="2:14" ht="12.7" customHeight="1" thickBot="1" x14ac:dyDescent="0.4">
      <c r="B64" s="158"/>
      <c r="C64" s="288"/>
      <c r="D64" s="288"/>
      <c r="E64" s="288"/>
      <c r="F64" s="288"/>
      <c r="G64" s="288"/>
      <c r="H64" s="288"/>
      <c r="I64" s="158"/>
      <c r="J64" s="287"/>
      <c r="K64" s="287"/>
      <c r="L64" s="158"/>
      <c r="M64" s="158"/>
      <c r="N64" s="159"/>
    </row>
    <row r="65" spans="2:14" ht="12.7" customHeight="1" thickBot="1" x14ac:dyDescent="0.4">
      <c r="B65" s="158"/>
      <c r="C65" s="288"/>
      <c r="D65" s="288"/>
      <c r="E65" s="288"/>
      <c r="F65" s="288"/>
      <c r="G65" s="288"/>
      <c r="H65" s="288"/>
      <c r="I65" s="158"/>
      <c r="J65" s="287"/>
      <c r="K65" s="287"/>
      <c r="L65" s="158"/>
      <c r="M65" s="158"/>
      <c r="N65" s="159"/>
    </row>
    <row r="66" spans="2:14" ht="12.7" customHeight="1" thickBot="1" x14ac:dyDescent="0.4">
      <c r="B66" s="158"/>
      <c r="C66" s="288"/>
      <c r="D66" s="288"/>
      <c r="E66" s="288"/>
      <c r="F66" s="288"/>
      <c r="G66" s="288"/>
      <c r="H66" s="288"/>
      <c r="I66" s="158"/>
      <c r="J66" s="287"/>
      <c r="K66" s="287"/>
      <c r="L66" s="158"/>
      <c r="M66" s="158"/>
      <c r="N66" s="159"/>
    </row>
    <row r="67" spans="2:14" ht="12.7" customHeight="1" thickBot="1" x14ac:dyDescent="0.4">
      <c r="B67" s="158"/>
      <c r="C67" s="288"/>
      <c r="D67" s="288"/>
      <c r="E67" s="288"/>
      <c r="F67" s="288"/>
      <c r="G67" s="288"/>
      <c r="H67" s="288"/>
      <c r="I67" s="158"/>
      <c r="J67" s="287"/>
      <c r="K67" s="287"/>
      <c r="L67" s="158"/>
      <c r="M67" s="158"/>
      <c r="N67" s="159"/>
    </row>
    <row r="68" spans="2:14" ht="12.7" customHeight="1" thickBot="1" x14ac:dyDescent="0.4">
      <c r="B68" s="158"/>
      <c r="C68" s="288"/>
      <c r="D68" s="288"/>
      <c r="E68" s="288"/>
      <c r="F68" s="288"/>
      <c r="G68" s="288"/>
      <c r="H68" s="288"/>
      <c r="I68" s="158"/>
      <c r="J68" s="287"/>
      <c r="K68" s="287"/>
      <c r="L68" s="158"/>
      <c r="M68" s="158"/>
      <c r="N68" s="159"/>
    </row>
    <row r="69" spans="2:14" ht="12.7" customHeight="1" thickBot="1" x14ac:dyDescent="0.4">
      <c r="B69" s="158"/>
      <c r="C69" s="288"/>
      <c r="D69" s="288"/>
      <c r="E69" s="288"/>
      <c r="F69" s="288"/>
      <c r="G69" s="288"/>
      <c r="H69" s="288"/>
      <c r="I69" s="158"/>
      <c r="J69" s="287"/>
      <c r="K69" s="287"/>
      <c r="L69" s="158"/>
      <c r="M69" s="158"/>
      <c r="N69" s="159"/>
    </row>
    <row r="70" spans="2:14" ht="12.7" customHeight="1" thickBot="1" x14ac:dyDescent="0.4">
      <c r="B70" s="158"/>
      <c r="C70" s="288"/>
      <c r="D70" s="288"/>
      <c r="E70" s="288"/>
      <c r="F70" s="288"/>
      <c r="G70" s="288"/>
      <c r="H70" s="288"/>
      <c r="I70" s="158"/>
      <c r="J70" s="287"/>
      <c r="K70" s="287"/>
      <c r="L70" s="158"/>
      <c r="M70" s="158"/>
      <c r="N70" s="159"/>
    </row>
    <row r="71" spans="2:14" ht="12.7" customHeight="1" thickBot="1" x14ac:dyDescent="0.4">
      <c r="B71" s="158"/>
      <c r="C71" s="288"/>
      <c r="D71" s="288"/>
      <c r="E71" s="288"/>
      <c r="F71" s="288"/>
      <c r="G71" s="288"/>
      <c r="H71" s="288"/>
      <c r="I71" s="158"/>
      <c r="J71" s="287"/>
      <c r="K71" s="287"/>
      <c r="L71" s="158"/>
      <c r="M71" s="158"/>
      <c r="N71" s="159"/>
    </row>
    <row r="72" spans="2:14" ht="12.7" customHeight="1" thickBot="1" x14ac:dyDescent="0.4">
      <c r="B72" s="158"/>
      <c r="C72" s="288"/>
      <c r="D72" s="288"/>
      <c r="E72" s="288"/>
      <c r="F72" s="288"/>
      <c r="G72" s="288"/>
      <c r="H72" s="288"/>
      <c r="I72" s="158"/>
      <c r="J72" s="287"/>
      <c r="K72" s="287"/>
      <c r="L72" s="158"/>
      <c r="M72" s="158"/>
      <c r="N72" s="159" t="s">
        <v>3</v>
      </c>
    </row>
  </sheetData>
  <mergeCells count="133">
    <mergeCell ref="L22:L27"/>
    <mergeCell ref="E22:I27"/>
    <mergeCell ref="L11:N11"/>
    <mergeCell ref="J45:K45"/>
    <mergeCell ref="B42:B45"/>
    <mergeCell ref="C42:E45"/>
    <mergeCell ref="F42:H45"/>
    <mergeCell ref="M43:M44"/>
    <mergeCell ref="G7:L7"/>
    <mergeCell ref="B29:B30"/>
    <mergeCell ref="J29:J30"/>
    <mergeCell ref="I42:I44"/>
    <mergeCell ref="J42:K44"/>
    <mergeCell ref="L42:L44"/>
    <mergeCell ref="D35:I35"/>
    <mergeCell ref="L35:N35"/>
    <mergeCell ref="D36:I36"/>
    <mergeCell ref="L36:N36"/>
    <mergeCell ref="D37:I37"/>
    <mergeCell ref="L37:N37"/>
    <mergeCell ref="D38:I38"/>
    <mergeCell ref="L38:N38"/>
    <mergeCell ref="C40:N40"/>
    <mergeCell ref="B41:H41"/>
    <mergeCell ref="G3:L3"/>
    <mergeCell ref="G4:L4"/>
    <mergeCell ref="G5:L5"/>
    <mergeCell ref="G6:L6"/>
    <mergeCell ref="B22:D27"/>
    <mergeCell ref="C30:I30"/>
    <mergeCell ref="M28:N28"/>
    <mergeCell ref="L12:N12"/>
    <mergeCell ref="B10:K12"/>
    <mergeCell ref="B13:D14"/>
    <mergeCell ref="E13:N14"/>
    <mergeCell ref="B15:D16"/>
    <mergeCell ref="E15:N16"/>
    <mergeCell ref="B17:D18"/>
    <mergeCell ref="E17:N18"/>
    <mergeCell ref="B19:D21"/>
    <mergeCell ref="E19:I21"/>
    <mergeCell ref="J19:K21"/>
    <mergeCell ref="M19:N21"/>
    <mergeCell ref="L10:N10"/>
    <mergeCell ref="G8:L8"/>
    <mergeCell ref="M22:N27"/>
    <mergeCell ref="J22:K27"/>
    <mergeCell ref="B28:L28"/>
    <mergeCell ref="C62:E62"/>
    <mergeCell ref="C49:E49"/>
    <mergeCell ref="C50:E50"/>
    <mergeCell ref="C51:E51"/>
    <mergeCell ref="C52:E52"/>
    <mergeCell ref="C53:E53"/>
    <mergeCell ref="C54:E54"/>
    <mergeCell ref="C55:E55"/>
    <mergeCell ref="C56:E56"/>
    <mergeCell ref="C57:E57"/>
    <mergeCell ref="C58:E58"/>
    <mergeCell ref="C59:E59"/>
    <mergeCell ref="C60:E60"/>
    <mergeCell ref="C64:E64"/>
    <mergeCell ref="C65:E65"/>
    <mergeCell ref="C66:E66"/>
    <mergeCell ref="C67:E67"/>
    <mergeCell ref="I41:N41"/>
    <mergeCell ref="M42:N42"/>
    <mergeCell ref="N43:N44"/>
    <mergeCell ref="C68:E68"/>
    <mergeCell ref="C69:E69"/>
    <mergeCell ref="F46:H46"/>
    <mergeCell ref="F47:H47"/>
    <mergeCell ref="F48:H48"/>
    <mergeCell ref="F61:H61"/>
    <mergeCell ref="F62:H62"/>
    <mergeCell ref="J46:K46"/>
    <mergeCell ref="J47:K47"/>
    <mergeCell ref="J48:K48"/>
    <mergeCell ref="J61:K61"/>
    <mergeCell ref="J62:K62"/>
    <mergeCell ref="J68:K68"/>
    <mergeCell ref="C46:E46"/>
    <mergeCell ref="C47:E47"/>
    <mergeCell ref="C48:E48"/>
    <mergeCell ref="C61:E61"/>
    <mergeCell ref="B2:N2"/>
    <mergeCell ref="J69:K69"/>
    <mergeCell ref="J70:K70"/>
    <mergeCell ref="J71:K71"/>
    <mergeCell ref="J72:K72"/>
    <mergeCell ref="J63:K63"/>
    <mergeCell ref="J64:K64"/>
    <mergeCell ref="J65:K65"/>
    <mergeCell ref="J66:K66"/>
    <mergeCell ref="J67:K67"/>
    <mergeCell ref="F72:H72"/>
    <mergeCell ref="F63:H63"/>
    <mergeCell ref="F64:H64"/>
    <mergeCell ref="F65:H65"/>
    <mergeCell ref="F66:H66"/>
    <mergeCell ref="F67:H67"/>
    <mergeCell ref="F68:H68"/>
    <mergeCell ref="F69:H69"/>
    <mergeCell ref="F70:H70"/>
    <mergeCell ref="F71:H71"/>
    <mergeCell ref="C70:E70"/>
    <mergeCell ref="C71:E71"/>
    <mergeCell ref="C72:E72"/>
    <mergeCell ref="C63:E63"/>
    <mergeCell ref="J49:K49"/>
    <mergeCell ref="J50:K50"/>
    <mergeCell ref="J51:K51"/>
    <mergeCell ref="J52:K52"/>
    <mergeCell ref="J53:K53"/>
    <mergeCell ref="F58:H58"/>
    <mergeCell ref="F59:H59"/>
    <mergeCell ref="F60:H60"/>
    <mergeCell ref="J59:K59"/>
    <mergeCell ref="J60:K60"/>
    <mergeCell ref="J54:K54"/>
    <mergeCell ref="J55:K55"/>
    <mergeCell ref="J56:K56"/>
    <mergeCell ref="J57:K57"/>
    <mergeCell ref="J58:K58"/>
    <mergeCell ref="F49:H49"/>
    <mergeCell ref="F50:H50"/>
    <mergeCell ref="F51:H51"/>
    <mergeCell ref="F52:H52"/>
    <mergeCell ref="F53:H53"/>
    <mergeCell ref="F54:H54"/>
    <mergeCell ref="F55:H55"/>
    <mergeCell ref="F56:H56"/>
    <mergeCell ref="F57:H57"/>
  </mergeCells>
  <phoneticPr fontId="38" type="noConversion"/>
  <pageMargins left="0.6" right="0.5" top="0.5" bottom="0" header="0.55000000000000004" footer="0"/>
  <pageSetup paperSize="9" scale="70"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F81D-7A9E-49FF-8381-4452BBD9D879}">
  <dimension ref="A1:WWL121"/>
  <sheetViews>
    <sheetView view="pageBreakPreview" topLeftCell="A32" zoomScaleNormal="100" zoomScaleSheetLayoutView="100" workbookViewId="0">
      <selection activeCell="E59" sqref="E59"/>
    </sheetView>
  </sheetViews>
  <sheetFormatPr defaultColWidth="0" defaultRowHeight="15" x14ac:dyDescent="0.4"/>
  <cols>
    <col min="1" max="1" width="8.59765625" style="1" customWidth="1"/>
    <col min="2" max="2" width="2.53125" style="1" customWidth="1"/>
    <col min="3" max="3" width="4" style="1" customWidth="1"/>
    <col min="4" max="4" width="5" style="1" customWidth="1"/>
    <col min="5" max="5" width="0.59765625" style="1" hidden="1" customWidth="1"/>
    <col min="6" max="6" width="2.46484375" style="1" customWidth="1"/>
    <col min="7" max="13" width="2.796875" style="1" customWidth="1"/>
    <col min="14" max="14" width="3.265625" style="1" customWidth="1"/>
    <col min="15" max="17" width="2.796875" style="1" customWidth="1"/>
    <col min="18" max="18" width="12.53125" style="1" customWidth="1"/>
    <col min="19" max="19" width="3.73046875" style="1" customWidth="1"/>
    <col min="20" max="27" width="2.796875" style="1" customWidth="1"/>
    <col min="28" max="28" width="11.73046875" style="1" customWidth="1"/>
    <col min="29" max="33" width="2.796875" style="1" customWidth="1"/>
    <col min="34" max="34" width="13.9296875" style="1" customWidth="1"/>
    <col min="35" max="35" width="8.796875" style="1" customWidth="1"/>
    <col min="36" max="253" width="8.796875" style="1" hidden="1"/>
    <col min="254" max="254" width="2.53125" style="1" hidden="1"/>
    <col min="255" max="255" width="4" style="1" hidden="1"/>
    <col min="256" max="256" width="3.73046875" style="1" hidden="1"/>
    <col min="257" max="257" width="8.796875" style="1" hidden="1"/>
    <col min="258" max="258" width="2.46484375" style="1" hidden="1"/>
    <col min="259" max="265" width="2.796875" style="1" hidden="1"/>
    <col min="266" max="266" width="3.265625" style="1" hidden="1"/>
    <col min="267" max="269" width="2.796875" style="1" hidden="1"/>
    <col min="270" max="270" width="10.19921875" style="1" hidden="1"/>
    <col min="271" max="271" width="3.73046875" style="1" hidden="1"/>
    <col min="272" max="285" width="2.796875" style="1" hidden="1"/>
    <col min="286" max="286" width="14.19921875" style="1" hidden="1"/>
    <col min="287" max="509" width="8.796875" style="1" hidden="1"/>
    <col min="510" max="510" width="2.53125" style="1" hidden="1"/>
    <col min="511" max="511" width="4" style="1" hidden="1"/>
    <col min="512" max="512" width="3.73046875" style="1" hidden="1"/>
    <col min="513" max="513" width="8.796875" style="1" hidden="1"/>
    <col min="514" max="514" width="2.46484375" style="1" hidden="1"/>
    <col min="515" max="521" width="2.796875" style="1" hidden="1"/>
    <col min="522" max="522" width="3.265625" style="1" hidden="1"/>
    <col min="523" max="525" width="2.796875" style="1" hidden="1"/>
    <col min="526" max="526" width="10.19921875" style="1" hidden="1"/>
    <col min="527" max="527" width="3.73046875" style="1" hidden="1"/>
    <col min="528" max="541" width="2.796875" style="1" hidden="1"/>
    <col min="542" max="542" width="14.19921875" style="1" hidden="1"/>
    <col min="543" max="765" width="8.796875" style="1" hidden="1"/>
    <col min="766" max="766" width="2.53125" style="1" hidden="1"/>
    <col min="767" max="767" width="4" style="1" hidden="1"/>
    <col min="768" max="768" width="3.73046875" style="1" hidden="1"/>
    <col min="769" max="769" width="8.796875" style="1" hidden="1"/>
    <col min="770" max="770" width="2.46484375" style="1" hidden="1"/>
    <col min="771" max="777" width="2.796875" style="1" hidden="1"/>
    <col min="778" max="778" width="3.265625" style="1" hidden="1"/>
    <col min="779" max="781" width="2.796875" style="1" hidden="1"/>
    <col min="782" max="782" width="10.19921875" style="1" hidden="1"/>
    <col min="783" max="783" width="3.73046875" style="1" hidden="1"/>
    <col min="784" max="797" width="2.796875" style="1" hidden="1"/>
    <col min="798" max="798" width="14.19921875" style="1" hidden="1"/>
    <col min="799" max="1021" width="8.796875" style="1" hidden="1"/>
    <col min="1022" max="1022" width="2.53125" style="1" hidden="1"/>
    <col min="1023" max="1023" width="4" style="1" hidden="1"/>
    <col min="1024" max="1024" width="3.73046875" style="1" hidden="1"/>
    <col min="1025" max="1025" width="8.796875" style="1" hidden="1"/>
    <col min="1026" max="1026" width="2.46484375" style="1" hidden="1"/>
    <col min="1027" max="1033" width="2.796875" style="1" hidden="1"/>
    <col min="1034" max="1034" width="3.265625" style="1" hidden="1"/>
    <col min="1035" max="1037" width="2.796875" style="1" hidden="1"/>
    <col min="1038" max="1038" width="10.19921875" style="1" hidden="1"/>
    <col min="1039" max="1039" width="3.73046875" style="1" hidden="1"/>
    <col min="1040" max="1053" width="2.796875" style="1" hidden="1"/>
    <col min="1054" max="1054" width="14.19921875" style="1" hidden="1"/>
    <col min="1055" max="1277" width="8.796875" style="1" hidden="1"/>
    <col min="1278" max="1278" width="2.53125" style="1" hidden="1"/>
    <col min="1279" max="1279" width="4" style="1" hidden="1"/>
    <col min="1280" max="1280" width="3.73046875" style="1" hidden="1"/>
    <col min="1281" max="1281" width="8.796875" style="1" hidden="1"/>
    <col min="1282" max="1282" width="2.46484375" style="1" hidden="1"/>
    <col min="1283" max="1289" width="2.796875" style="1" hidden="1"/>
    <col min="1290" max="1290" width="3.265625" style="1" hidden="1"/>
    <col min="1291" max="1293" width="2.796875" style="1" hidden="1"/>
    <col min="1294" max="1294" width="10.19921875" style="1" hidden="1"/>
    <col min="1295" max="1295" width="3.73046875" style="1" hidden="1"/>
    <col min="1296" max="1309" width="2.796875" style="1" hidden="1"/>
    <col min="1310" max="1310" width="14.19921875" style="1" hidden="1"/>
    <col min="1311" max="1533" width="8.796875" style="1" hidden="1"/>
    <col min="1534" max="1534" width="2.53125" style="1" hidden="1"/>
    <col min="1535" max="1535" width="4" style="1" hidden="1"/>
    <col min="1536" max="1536" width="3.73046875" style="1" hidden="1"/>
    <col min="1537" max="1537" width="8.796875" style="1" hidden="1"/>
    <col min="1538" max="1538" width="2.46484375" style="1" hidden="1"/>
    <col min="1539" max="1545" width="2.796875" style="1" hidden="1"/>
    <col min="1546" max="1546" width="3.265625" style="1" hidden="1"/>
    <col min="1547" max="1549" width="2.796875" style="1" hidden="1"/>
    <col min="1550" max="1550" width="10.19921875" style="1" hidden="1"/>
    <col min="1551" max="1551" width="3.73046875" style="1" hidden="1"/>
    <col min="1552" max="1565" width="2.796875" style="1" hidden="1"/>
    <col min="1566" max="1566" width="14.19921875" style="1" hidden="1"/>
    <col min="1567" max="1789" width="8.796875" style="1" hidden="1"/>
    <col min="1790" max="1790" width="2.53125" style="1" hidden="1"/>
    <col min="1791" max="1791" width="4" style="1" hidden="1"/>
    <col min="1792" max="1792" width="3.73046875" style="1" hidden="1"/>
    <col min="1793" max="1793" width="8.796875" style="1" hidden="1"/>
    <col min="1794" max="1794" width="2.46484375" style="1" hidden="1"/>
    <col min="1795" max="1801" width="2.796875" style="1" hidden="1"/>
    <col min="1802" max="1802" width="3.265625" style="1" hidden="1"/>
    <col min="1803" max="1805" width="2.796875" style="1" hidden="1"/>
    <col min="1806" max="1806" width="10.19921875" style="1" hidden="1"/>
    <col min="1807" max="1807" width="3.73046875" style="1" hidden="1"/>
    <col min="1808" max="1821" width="2.796875" style="1" hidden="1"/>
    <col min="1822" max="1822" width="14.19921875" style="1" hidden="1"/>
    <col min="1823" max="2045" width="8.796875" style="1" hidden="1"/>
    <col min="2046" max="2046" width="2.53125" style="1" hidden="1"/>
    <col min="2047" max="2047" width="4" style="1" hidden="1"/>
    <col min="2048" max="2048" width="3.73046875" style="1" hidden="1"/>
    <col min="2049" max="2049" width="8.796875" style="1" hidden="1"/>
    <col min="2050" max="2050" width="2.46484375" style="1" hidden="1"/>
    <col min="2051" max="2057" width="2.796875" style="1" hidden="1"/>
    <col min="2058" max="2058" width="3.265625" style="1" hidden="1"/>
    <col min="2059" max="2061" width="2.796875" style="1" hidden="1"/>
    <col min="2062" max="2062" width="10.19921875" style="1" hidden="1"/>
    <col min="2063" max="2063" width="3.73046875" style="1" hidden="1"/>
    <col min="2064" max="2077" width="2.796875" style="1" hidden="1"/>
    <col min="2078" max="2078" width="14.19921875" style="1" hidden="1"/>
    <col min="2079" max="2301" width="8.796875" style="1" hidden="1"/>
    <col min="2302" max="2302" width="2.53125" style="1" hidden="1"/>
    <col min="2303" max="2303" width="4" style="1" hidden="1"/>
    <col min="2304" max="2304" width="3.73046875" style="1" hidden="1"/>
    <col min="2305" max="2305" width="8.796875" style="1" hidden="1"/>
    <col min="2306" max="2306" width="2.46484375" style="1" hidden="1"/>
    <col min="2307" max="2313" width="2.796875" style="1" hidden="1"/>
    <col min="2314" max="2314" width="3.265625" style="1" hidden="1"/>
    <col min="2315" max="2317" width="2.796875" style="1" hidden="1"/>
    <col min="2318" max="2318" width="10.19921875" style="1" hidden="1"/>
    <col min="2319" max="2319" width="3.73046875" style="1" hidden="1"/>
    <col min="2320" max="2333" width="2.796875" style="1" hidden="1"/>
    <col min="2334" max="2334" width="14.19921875" style="1" hidden="1"/>
    <col min="2335" max="2557" width="8.796875" style="1" hidden="1"/>
    <col min="2558" max="2558" width="2.53125" style="1" hidden="1"/>
    <col min="2559" max="2559" width="4" style="1" hidden="1"/>
    <col min="2560" max="2560" width="3.73046875" style="1" hidden="1"/>
    <col min="2561" max="2561" width="8.796875" style="1" hidden="1"/>
    <col min="2562" max="2562" width="2.46484375" style="1" hidden="1"/>
    <col min="2563" max="2569" width="2.796875" style="1" hidden="1"/>
    <col min="2570" max="2570" width="3.265625" style="1" hidden="1"/>
    <col min="2571" max="2573" width="2.796875" style="1" hidden="1"/>
    <col min="2574" max="2574" width="10.19921875" style="1" hidden="1"/>
    <col min="2575" max="2575" width="3.73046875" style="1" hidden="1"/>
    <col min="2576" max="2589" width="2.796875" style="1" hidden="1"/>
    <col min="2590" max="2590" width="14.19921875" style="1" hidden="1"/>
    <col min="2591" max="2813" width="8.796875" style="1" hidden="1"/>
    <col min="2814" max="2814" width="2.53125" style="1" hidden="1"/>
    <col min="2815" max="2815" width="4" style="1" hidden="1"/>
    <col min="2816" max="2816" width="3.73046875" style="1" hidden="1"/>
    <col min="2817" max="2817" width="8.796875" style="1" hidden="1"/>
    <col min="2818" max="2818" width="2.46484375" style="1" hidden="1"/>
    <col min="2819" max="2825" width="2.796875" style="1" hidden="1"/>
    <col min="2826" max="2826" width="3.265625" style="1" hidden="1"/>
    <col min="2827" max="2829" width="2.796875" style="1" hidden="1"/>
    <col min="2830" max="2830" width="10.19921875" style="1" hidden="1"/>
    <col min="2831" max="2831" width="3.73046875" style="1" hidden="1"/>
    <col min="2832" max="2845" width="2.796875" style="1" hidden="1"/>
    <col min="2846" max="2846" width="14.19921875" style="1" hidden="1"/>
    <col min="2847" max="3069" width="8.796875" style="1" hidden="1"/>
    <col min="3070" max="3070" width="2.53125" style="1" hidden="1"/>
    <col min="3071" max="3071" width="4" style="1" hidden="1"/>
    <col min="3072" max="3072" width="3.73046875" style="1" hidden="1"/>
    <col min="3073" max="3073" width="8.796875" style="1" hidden="1"/>
    <col min="3074" max="3074" width="2.46484375" style="1" hidden="1"/>
    <col min="3075" max="3081" width="2.796875" style="1" hidden="1"/>
    <col min="3082" max="3082" width="3.265625" style="1" hidden="1"/>
    <col min="3083" max="3085" width="2.796875" style="1" hidden="1"/>
    <col min="3086" max="3086" width="10.19921875" style="1" hidden="1"/>
    <col min="3087" max="3087" width="3.73046875" style="1" hidden="1"/>
    <col min="3088" max="3101" width="2.796875" style="1" hidden="1"/>
    <col min="3102" max="3102" width="14.19921875" style="1" hidden="1"/>
    <col min="3103" max="3325" width="8.796875" style="1" hidden="1"/>
    <col min="3326" max="3326" width="2.53125" style="1" hidden="1"/>
    <col min="3327" max="3327" width="4" style="1" hidden="1"/>
    <col min="3328" max="3328" width="3.73046875" style="1" hidden="1"/>
    <col min="3329" max="3329" width="8.796875" style="1" hidden="1"/>
    <col min="3330" max="3330" width="2.46484375" style="1" hidden="1"/>
    <col min="3331" max="3337" width="2.796875" style="1" hidden="1"/>
    <col min="3338" max="3338" width="3.265625" style="1" hidden="1"/>
    <col min="3339" max="3341" width="2.796875" style="1" hidden="1"/>
    <col min="3342" max="3342" width="10.19921875" style="1" hidden="1"/>
    <col min="3343" max="3343" width="3.73046875" style="1" hidden="1"/>
    <col min="3344" max="3357" width="2.796875" style="1" hidden="1"/>
    <col min="3358" max="3358" width="14.19921875" style="1" hidden="1"/>
    <col min="3359" max="3581" width="8.796875" style="1" hidden="1"/>
    <col min="3582" max="3582" width="2.53125" style="1" hidden="1"/>
    <col min="3583" max="3583" width="4" style="1" hidden="1"/>
    <col min="3584" max="3584" width="3.73046875" style="1" hidden="1"/>
    <col min="3585" max="3585" width="8.796875" style="1" hidden="1"/>
    <col min="3586" max="3586" width="2.46484375" style="1" hidden="1"/>
    <col min="3587" max="3593" width="2.796875" style="1" hidden="1"/>
    <col min="3594" max="3594" width="3.265625" style="1" hidden="1"/>
    <col min="3595" max="3597" width="2.796875" style="1" hidden="1"/>
    <col min="3598" max="3598" width="10.19921875" style="1" hidden="1"/>
    <col min="3599" max="3599" width="3.73046875" style="1" hidden="1"/>
    <col min="3600" max="3613" width="2.796875" style="1" hidden="1"/>
    <col min="3614" max="3614" width="14.19921875" style="1" hidden="1"/>
    <col min="3615" max="3837" width="8.796875" style="1" hidden="1"/>
    <col min="3838" max="3838" width="2.53125" style="1" hidden="1"/>
    <col min="3839" max="3839" width="4" style="1" hidden="1"/>
    <col min="3840" max="3840" width="3.73046875" style="1" hidden="1"/>
    <col min="3841" max="3841" width="8.796875" style="1" hidden="1"/>
    <col min="3842" max="3842" width="2.46484375" style="1" hidden="1"/>
    <col min="3843" max="3849" width="2.796875" style="1" hidden="1"/>
    <col min="3850" max="3850" width="3.265625" style="1" hidden="1"/>
    <col min="3851" max="3853" width="2.796875" style="1" hidden="1"/>
    <col min="3854" max="3854" width="10.19921875" style="1" hidden="1"/>
    <col min="3855" max="3855" width="3.73046875" style="1" hidden="1"/>
    <col min="3856" max="3869" width="2.796875" style="1" hidden="1"/>
    <col min="3870" max="3870" width="14.19921875" style="1" hidden="1"/>
    <col min="3871" max="4093" width="8.796875" style="1" hidden="1"/>
    <col min="4094" max="4094" width="2.53125" style="1" hidden="1"/>
    <col min="4095" max="4095" width="4" style="1" hidden="1"/>
    <col min="4096" max="4096" width="3.73046875" style="1" hidden="1"/>
    <col min="4097" max="4097" width="8.796875" style="1" hidden="1"/>
    <col min="4098" max="4098" width="2.46484375" style="1" hidden="1"/>
    <col min="4099" max="4105" width="2.796875" style="1" hidden="1"/>
    <col min="4106" max="4106" width="3.265625" style="1" hidden="1"/>
    <col min="4107" max="4109" width="2.796875" style="1" hidden="1"/>
    <col min="4110" max="4110" width="10.19921875" style="1" hidden="1"/>
    <col min="4111" max="4111" width="3.73046875" style="1" hidden="1"/>
    <col min="4112" max="4125" width="2.796875" style="1" hidden="1"/>
    <col min="4126" max="4126" width="14.19921875" style="1" hidden="1"/>
    <col min="4127" max="4349" width="8.796875" style="1" hidden="1"/>
    <col min="4350" max="4350" width="2.53125" style="1" hidden="1"/>
    <col min="4351" max="4351" width="4" style="1" hidden="1"/>
    <col min="4352" max="4352" width="3.73046875" style="1" hidden="1"/>
    <col min="4353" max="4353" width="8.796875" style="1" hidden="1"/>
    <col min="4354" max="4354" width="2.46484375" style="1" hidden="1"/>
    <col min="4355" max="4361" width="2.796875" style="1" hidden="1"/>
    <col min="4362" max="4362" width="3.265625" style="1" hidden="1"/>
    <col min="4363" max="4365" width="2.796875" style="1" hidden="1"/>
    <col min="4366" max="4366" width="10.19921875" style="1" hidden="1"/>
    <col min="4367" max="4367" width="3.73046875" style="1" hidden="1"/>
    <col min="4368" max="4381" width="2.796875" style="1" hidden="1"/>
    <col min="4382" max="4382" width="14.19921875" style="1" hidden="1"/>
    <col min="4383" max="4605" width="8.796875" style="1" hidden="1"/>
    <col min="4606" max="4606" width="2.53125" style="1" hidden="1"/>
    <col min="4607" max="4607" width="4" style="1" hidden="1"/>
    <col min="4608" max="4608" width="3.73046875" style="1" hidden="1"/>
    <col min="4609" max="4609" width="8.796875" style="1" hidden="1"/>
    <col min="4610" max="4610" width="2.46484375" style="1" hidden="1"/>
    <col min="4611" max="4617" width="2.796875" style="1" hidden="1"/>
    <col min="4618" max="4618" width="3.265625" style="1" hidden="1"/>
    <col min="4619" max="4621" width="2.796875" style="1" hidden="1"/>
    <col min="4622" max="4622" width="10.19921875" style="1" hidden="1"/>
    <col min="4623" max="4623" width="3.73046875" style="1" hidden="1"/>
    <col min="4624" max="4637" width="2.796875" style="1" hidden="1"/>
    <col min="4638" max="4638" width="14.19921875" style="1" hidden="1"/>
    <col min="4639" max="4861" width="8.796875" style="1" hidden="1"/>
    <col min="4862" max="4862" width="2.53125" style="1" hidden="1"/>
    <col min="4863" max="4863" width="4" style="1" hidden="1"/>
    <col min="4864" max="4864" width="3.73046875" style="1" hidden="1"/>
    <col min="4865" max="4865" width="8.796875" style="1" hidden="1"/>
    <col min="4866" max="4866" width="2.46484375" style="1" hidden="1"/>
    <col min="4867" max="4873" width="2.796875" style="1" hidden="1"/>
    <col min="4874" max="4874" width="3.265625" style="1" hidden="1"/>
    <col min="4875" max="4877" width="2.796875" style="1" hidden="1"/>
    <col min="4878" max="4878" width="10.19921875" style="1" hidden="1"/>
    <col min="4879" max="4879" width="3.73046875" style="1" hidden="1"/>
    <col min="4880" max="4893" width="2.796875" style="1" hidden="1"/>
    <col min="4894" max="4894" width="14.19921875" style="1" hidden="1"/>
    <col min="4895" max="5117" width="8.796875" style="1" hidden="1"/>
    <col min="5118" max="5118" width="2.53125" style="1" hidden="1"/>
    <col min="5119" max="5119" width="4" style="1" hidden="1"/>
    <col min="5120" max="5120" width="3.73046875" style="1" hidden="1"/>
    <col min="5121" max="5121" width="8.796875" style="1" hidden="1"/>
    <col min="5122" max="5122" width="2.46484375" style="1" hidden="1"/>
    <col min="5123" max="5129" width="2.796875" style="1" hidden="1"/>
    <col min="5130" max="5130" width="3.265625" style="1" hidden="1"/>
    <col min="5131" max="5133" width="2.796875" style="1" hidden="1"/>
    <col min="5134" max="5134" width="10.19921875" style="1" hidden="1"/>
    <col min="5135" max="5135" width="3.73046875" style="1" hidden="1"/>
    <col min="5136" max="5149" width="2.796875" style="1" hidden="1"/>
    <col min="5150" max="5150" width="14.19921875" style="1" hidden="1"/>
    <col min="5151" max="5373" width="8.796875" style="1" hidden="1"/>
    <col min="5374" max="5374" width="2.53125" style="1" hidden="1"/>
    <col min="5375" max="5375" width="4" style="1" hidden="1"/>
    <col min="5376" max="5376" width="3.73046875" style="1" hidden="1"/>
    <col min="5377" max="5377" width="8.796875" style="1" hidden="1"/>
    <col min="5378" max="5378" width="2.46484375" style="1" hidden="1"/>
    <col min="5379" max="5385" width="2.796875" style="1" hidden="1"/>
    <col min="5386" max="5386" width="3.265625" style="1" hidden="1"/>
    <col min="5387" max="5389" width="2.796875" style="1" hidden="1"/>
    <col min="5390" max="5390" width="10.19921875" style="1" hidden="1"/>
    <col min="5391" max="5391" width="3.73046875" style="1" hidden="1"/>
    <col min="5392" max="5405" width="2.796875" style="1" hidden="1"/>
    <col min="5406" max="5406" width="14.19921875" style="1" hidden="1"/>
    <col min="5407" max="5629" width="8.796875" style="1" hidden="1"/>
    <col min="5630" max="5630" width="2.53125" style="1" hidden="1"/>
    <col min="5631" max="5631" width="4" style="1" hidden="1"/>
    <col min="5632" max="5632" width="3.73046875" style="1" hidden="1"/>
    <col min="5633" max="5633" width="8.796875" style="1" hidden="1"/>
    <col min="5634" max="5634" width="2.46484375" style="1" hidden="1"/>
    <col min="5635" max="5641" width="2.796875" style="1" hidden="1"/>
    <col min="5642" max="5642" width="3.265625" style="1" hidden="1"/>
    <col min="5643" max="5645" width="2.796875" style="1" hidden="1"/>
    <col min="5646" max="5646" width="10.19921875" style="1" hidden="1"/>
    <col min="5647" max="5647" width="3.73046875" style="1" hidden="1"/>
    <col min="5648" max="5661" width="2.796875" style="1" hidden="1"/>
    <col min="5662" max="5662" width="14.19921875" style="1" hidden="1"/>
    <col min="5663" max="5885" width="8.796875" style="1" hidden="1"/>
    <col min="5886" max="5886" width="2.53125" style="1" hidden="1"/>
    <col min="5887" max="5887" width="4" style="1" hidden="1"/>
    <col min="5888" max="5888" width="3.73046875" style="1" hidden="1"/>
    <col min="5889" max="5889" width="8.796875" style="1" hidden="1"/>
    <col min="5890" max="5890" width="2.46484375" style="1" hidden="1"/>
    <col min="5891" max="5897" width="2.796875" style="1" hidden="1"/>
    <col min="5898" max="5898" width="3.265625" style="1" hidden="1"/>
    <col min="5899" max="5901" width="2.796875" style="1" hidden="1"/>
    <col min="5902" max="5902" width="10.19921875" style="1" hidden="1"/>
    <col min="5903" max="5903" width="3.73046875" style="1" hidden="1"/>
    <col min="5904" max="5917" width="2.796875" style="1" hidden="1"/>
    <col min="5918" max="5918" width="14.19921875" style="1" hidden="1"/>
    <col min="5919" max="6141" width="8.796875" style="1" hidden="1"/>
    <col min="6142" max="6142" width="2.53125" style="1" hidden="1"/>
    <col min="6143" max="6143" width="4" style="1" hidden="1"/>
    <col min="6144" max="6144" width="3.73046875" style="1" hidden="1"/>
    <col min="6145" max="6145" width="8.796875" style="1" hidden="1"/>
    <col min="6146" max="6146" width="2.46484375" style="1" hidden="1"/>
    <col min="6147" max="6153" width="2.796875" style="1" hidden="1"/>
    <col min="6154" max="6154" width="3.265625" style="1" hidden="1"/>
    <col min="6155" max="6157" width="2.796875" style="1" hidden="1"/>
    <col min="6158" max="6158" width="10.19921875" style="1" hidden="1"/>
    <col min="6159" max="6159" width="3.73046875" style="1" hidden="1"/>
    <col min="6160" max="6173" width="2.796875" style="1" hidden="1"/>
    <col min="6174" max="6174" width="14.19921875" style="1" hidden="1"/>
    <col min="6175" max="6397" width="8.796875" style="1" hidden="1"/>
    <col min="6398" max="6398" width="2.53125" style="1" hidden="1"/>
    <col min="6399" max="6399" width="4" style="1" hidden="1"/>
    <col min="6400" max="6400" width="3.73046875" style="1" hidden="1"/>
    <col min="6401" max="6401" width="8.796875" style="1" hidden="1"/>
    <col min="6402" max="6402" width="2.46484375" style="1" hidden="1"/>
    <col min="6403" max="6409" width="2.796875" style="1" hidden="1"/>
    <col min="6410" max="6410" width="3.265625" style="1" hidden="1"/>
    <col min="6411" max="6413" width="2.796875" style="1" hidden="1"/>
    <col min="6414" max="6414" width="10.19921875" style="1" hidden="1"/>
    <col min="6415" max="6415" width="3.73046875" style="1" hidden="1"/>
    <col min="6416" max="6429" width="2.796875" style="1" hidden="1"/>
    <col min="6430" max="6430" width="14.19921875" style="1" hidden="1"/>
    <col min="6431" max="6653" width="8.796875" style="1" hidden="1"/>
    <col min="6654" max="6654" width="2.53125" style="1" hidden="1"/>
    <col min="6655" max="6655" width="4" style="1" hidden="1"/>
    <col min="6656" max="6656" width="3.73046875" style="1" hidden="1"/>
    <col min="6657" max="6657" width="8.796875" style="1" hidden="1"/>
    <col min="6658" max="6658" width="2.46484375" style="1" hidden="1"/>
    <col min="6659" max="6665" width="2.796875" style="1" hidden="1"/>
    <col min="6666" max="6666" width="3.265625" style="1" hidden="1"/>
    <col min="6667" max="6669" width="2.796875" style="1" hidden="1"/>
    <col min="6670" max="6670" width="10.19921875" style="1" hidden="1"/>
    <col min="6671" max="6671" width="3.73046875" style="1" hidden="1"/>
    <col min="6672" max="6685" width="2.796875" style="1" hidden="1"/>
    <col min="6686" max="6686" width="14.19921875" style="1" hidden="1"/>
    <col min="6687" max="6909" width="8.796875" style="1" hidden="1"/>
    <col min="6910" max="6910" width="2.53125" style="1" hidden="1"/>
    <col min="6911" max="6911" width="4" style="1" hidden="1"/>
    <col min="6912" max="6912" width="3.73046875" style="1" hidden="1"/>
    <col min="6913" max="6913" width="8.796875" style="1" hidden="1"/>
    <col min="6914" max="6914" width="2.46484375" style="1" hidden="1"/>
    <col min="6915" max="6921" width="2.796875" style="1" hidden="1"/>
    <col min="6922" max="6922" width="3.265625" style="1" hidden="1"/>
    <col min="6923" max="6925" width="2.796875" style="1" hidden="1"/>
    <col min="6926" max="6926" width="10.19921875" style="1" hidden="1"/>
    <col min="6927" max="6927" width="3.73046875" style="1" hidden="1"/>
    <col min="6928" max="6941" width="2.796875" style="1" hidden="1"/>
    <col min="6942" max="6942" width="14.19921875" style="1" hidden="1"/>
    <col min="6943" max="7165" width="8.796875" style="1" hidden="1"/>
    <col min="7166" max="7166" width="2.53125" style="1" hidden="1"/>
    <col min="7167" max="7167" width="4" style="1" hidden="1"/>
    <col min="7168" max="7168" width="3.73046875" style="1" hidden="1"/>
    <col min="7169" max="7169" width="8.796875" style="1" hidden="1"/>
    <col min="7170" max="7170" width="2.46484375" style="1" hidden="1"/>
    <col min="7171" max="7177" width="2.796875" style="1" hidden="1"/>
    <col min="7178" max="7178" width="3.265625" style="1" hidden="1"/>
    <col min="7179" max="7181" width="2.796875" style="1" hidden="1"/>
    <col min="7182" max="7182" width="10.19921875" style="1" hidden="1"/>
    <col min="7183" max="7183" width="3.73046875" style="1" hidden="1"/>
    <col min="7184" max="7197" width="2.796875" style="1" hidden="1"/>
    <col min="7198" max="7198" width="14.19921875" style="1" hidden="1"/>
    <col min="7199" max="7421" width="8.796875" style="1" hidden="1"/>
    <col min="7422" max="7422" width="2.53125" style="1" hidden="1"/>
    <col min="7423" max="7423" width="4" style="1" hidden="1"/>
    <col min="7424" max="7424" width="3.73046875" style="1" hidden="1"/>
    <col min="7425" max="7425" width="8.796875" style="1" hidden="1"/>
    <col min="7426" max="7426" width="2.46484375" style="1" hidden="1"/>
    <col min="7427" max="7433" width="2.796875" style="1" hidden="1"/>
    <col min="7434" max="7434" width="3.265625" style="1" hidden="1"/>
    <col min="7435" max="7437" width="2.796875" style="1" hidden="1"/>
    <col min="7438" max="7438" width="10.19921875" style="1" hidden="1"/>
    <col min="7439" max="7439" width="3.73046875" style="1" hidden="1"/>
    <col min="7440" max="7453" width="2.796875" style="1" hidden="1"/>
    <col min="7454" max="7454" width="14.19921875" style="1" hidden="1"/>
    <col min="7455" max="7677" width="8.796875" style="1" hidden="1"/>
    <col min="7678" max="7678" width="2.53125" style="1" hidden="1"/>
    <col min="7679" max="7679" width="4" style="1" hidden="1"/>
    <col min="7680" max="7680" width="3.73046875" style="1" hidden="1"/>
    <col min="7681" max="7681" width="8.796875" style="1" hidden="1"/>
    <col min="7682" max="7682" width="2.46484375" style="1" hidden="1"/>
    <col min="7683" max="7689" width="2.796875" style="1" hidden="1"/>
    <col min="7690" max="7690" width="3.265625" style="1" hidden="1"/>
    <col min="7691" max="7693" width="2.796875" style="1" hidden="1"/>
    <col min="7694" max="7694" width="10.19921875" style="1" hidden="1"/>
    <col min="7695" max="7695" width="3.73046875" style="1" hidden="1"/>
    <col min="7696" max="7709" width="2.796875" style="1" hidden="1"/>
    <col min="7710" max="7710" width="14.19921875" style="1" hidden="1"/>
    <col min="7711" max="7933" width="8.796875" style="1" hidden="1"/>
    <col min="7934" max="7934" width="2.53125" style="1" hidden="1"/>
    <col min="7935" max="7935" width="4" style="1" hidden="1"/>
    <col min="7936" max="7936" width="3.73046875" style="1" hidden="1"/>
    <col min="7937" max="7937" width="8.796875" style="1" hidden="1"/>
    <col min="7938" max="7938" width="2.46484375" style="1" hidden="1"/>
    <col min="7939" max="7945" width="2.796875" style="1" hidden="1"/>
    <col min="7946" max="7946" width="3.265625" style="1" hidden="1"/>
    <col min="7947" max="7949" width="2.796875" style="1" hidden="1"/>
    <col min="7950" max="7950" width="10.19921875" style="1" hidden="1"/>
    <col min="7951" max="7951" width="3.73046875" style="1" hidden="1"/>
    <col min="7952" max="7965" width="2.796875" style="1" hidden="1"/>
    <col min="7966" max="7966" width="14.19921875" style="1" hidden="1"/>
    <col min="7967" max="8189" width="8.796875" style="1" hidden="1"/>
    <col min="8190" max="8190" width="2.53125" style="1" hidden="1"/>
    <col min="8191" max="8191" width="4" style="1" hidden="1"/>
    <col min="8192" max="8192" width="3.73046875" style="1" hidden="1"/>
    <col min="8193" max="8193" width="8.796875" style="1" hidden="1"/>
    <col min="8194" max="8194" width="2.46484375" style="1" hidden="1"/>
    <col min="8195" max="8201" width="2.796875" style="1" hidden="1"/>
    <col min="8202" max="8202" width="3.265625" style="1" hidden="1"/>
    <col min="8203" max="8205" width="2.796875" style="1" hidden="1"/>
    <col min="8206" max="8206" width="10.19921875" style="1" hidden="1"/>
    <col min="8207" max="8207" width="3.73046875" style="1" hidden="1"/>
    <col min="8208" max="8221" width="2.796875" style="1" hidden="1"/>
    <col min="8222" max="8222" width="14.19921875" style="1" hidden="1"/>
    <col min="8223" max="8445" width="8.796875" style="1" hidden="1"/>
    <col min="8446" max="8446" width="2.53125" style="1" hidden="1"/>
    <col min="8447" max="8447" width="4" style="1" hidden="1"/>
    <col min="8448" max="8448" width="3.73046875" style="1" hidden="1"/>
    <col min="8449" max="8449" width="8.796875" style="1" hidden="1"/>
    <col min="8450" max="8450" width="2.46484375" style="1" hidden="1"/>
    <col min="8451" max="8457" width="2.796875" style="1" hidden="1"/>
    <col min="8458" max="8458" width="3.265625" style="1" hidden="1"/>
    <col min="8459" max="8461" width="2.796875" style="1" hidden="1"/>
    <col min="8462" max="8462" width="10.19921875" style="1" hidden="1"/>
    <col min="8463" max="8463" width="3.73046875" style="1" hidden="1"/>
    <col min="8464" max="8477" width="2.796875" style="1" hidden="1"/>
    <col min="8478" max="8478" width="14.19921875" style="1" hidden="1"/>
    <col min="8479" max="8701" width="8.796875" style="1" hidden="1"/>
    <col min="8702" max="8702" width="2.53125" style="1" hidden="1"/>
    <col min="8703" max="8703" width="4" style="1" hidden="1"/>
    <col min="8704" max="8704" width="3.73046875" style="1" hidden="1"/>
    <col min="8705" max="8705" width="8.796875" style="1" hidden="1"/>
    <col min="8706" max="8706" width="2.46484375" style="1" hidden="1"/>
    <col min="8707" max="8713" width="2.796875" style="1" hidden="1"/>
    <col min="8714" max="8714" width="3.265625" style="1" hidden="1"/>
    <col min="8715" max="8717" width="2.796875" style="1" hidden="1"/>
    <col min="8718" max="8718" width="10.19921875" style="1" hidden="1"/>
    <col min="8719" max="8719" width="3.73046875" style="1" hidden="1"/>
    <col min="8720" max="8733" width="2.796875" style="1" hidden="1"/>
    <col min="8734" max="8734" width="14.19921875" style="1" hidden="1"/>
    <col min="8735" max="8957" width="8.796875" style="1" hidden="1"/>
    <col min="8958" max="8958" width="2.53125" style="1" hidden="1"/>
    <col min="8959" max="8959" width="4" style="1" hidden="1"/>
    <col min="8960" max="8960" width="3.73046875" style="1" hidden="1"/>
    <col min="8961" max="8961" width="8.796875" style="1" hidden="1"/>
    <col min="8962" max="8962" width="2.46484375" style="1" hidden="1"/>
    <col min="8963" max="8969" width="2.796875" style="1" hidden="1"/>
    <col min="8970" max="8970" width="3.265625" style="1" hidden="1"/>
    <col min="8971" max="8973" width="2.796875" style="1" hidden="1"/>
    <col min="8974" max="8974" width="10.19921875" style="1" hidden="1"/>
    <col min="8975" max="8975" width="3.73046875" style="1" hidden="1"/>
    <col min="8976" max="8989" width="2.796875" style="1" hidden="1"/>
    <col min="8990" max="8990" width="14.19921875" style="1" hidden="1"/>
    <col min="8991" max="9213" width="8.796875" style="1" hidden="1"/>
    <col min="9214" max="9214" width="2.53125" style="1" hidden="1"/>
    <col min="9215" max="9215" width="4" style="1" hidden="1"/>
    <col min="9216" max="9216" width="3.73046875" style="1" hidden="1"/>
    <col min="9217" max="9217" width="8.796875" style="1" hidden="1"/>
    <col min="9218" max="9218" width="2.46484375" style="1" hidden="1"/>
    <col min="9219" max="9225" width="2.796875" style="1" hidden="1"/>
    <col min="9226" max="9226" width="3.265625" style="1" hidden="1"/>
    <col min="9227" max="9229" width="2.796875" style="1" hidden="1"/>
    <col min="9230" max="9230" width="10.19921875" style="1" hidden="1"/>
    <col min="9231" max="9231" width="3.73046875" style="1" hidden="1"/>
    <col min="9232" max="9245" width="2.796875" style="1" hidden="1"/>
    <col min="9246" max="9246" width="14.19921875" style="1" hidden="1"/>
    <col min="9247" max="9469" width="8.796875" style="1" hidden="1"/>
    <col min="9470" max="9470" width="2.53125" style="1" hidden="1"/>
    <col min="9471" max="9471" width="4" style="1" hidden="1"/>
    <col min="9472" max="9472" width="3.73046875" style="1" hidden="1"/>
    <col min="9473" max="9473" width="8.796875" style="1" hidden="1"/>
    <col min="9474" max="9474" width="2.46484375" style="1" hidden="1"/>
    <col min="9475" max="9481" width="2.796875" style="1" hidden="1"/>
    <col min="9482" max="9482" width="3.265625" style="1" hidden="1"/>
    <col min="9483" max="9485" width="2.796875" style="1" hidden="1"/>
    <col min="9486" max="9486" width="10.19921875" style="1" hidden="1"/>
    <col min="9487" max="9487" width="3.73046875" style="1" hidden="1"/>
    <col min="9488" max="9501" width="2.796875" style="1" hidden="1"/>
    <col min="9502" max="9502" width="14.19921875" style="1" hidden="1"/>
    <col min="9503" max="9725" width="8.796875" style="1" hidden="1"/>
    <col min="9726" max="9726" width="2.53125" style="1" hidden="1"/>
    <col min="9727" max="9727" width="4" style="1" hidden="1"/>
    <col min="9728" max="9728" width="3.73046875" style="1" hidden="1"/>
    <col min="9729" max="9729" width="8.796875" style="1" hidden="1"/>
    <col min="9730" max="9730" width="2.46484375" style="1" hidden="1"/>
    <col min="9731" max="9737" width="2.796875" style="1" hidden="1"/>
    <col min="9738" max="9738" width="3.265625" style="1" hidden="1"/>
    <col min="9739" max="9741" width="2.796875" style="1" hidden="1"/>
    <col min="9742" max="9742" width="10.19921875" style="1" hidden="1"/>
    <col min="9743" max="9743" width="3.73046875" style="1" hidden="1"/>
    <col min="9744" max="9757" width="2.796875" style="1" hidden="1"/>
    <col min="9758" max="9758" width="14.19921875" style="1" hidden="1"/>
    <col min="9759" max="9981" width="8.796875" style="1" hidden="1"/>
    <col min="9982" max="9982" width="2.53125" style="1" hidden="1"/>
    <col min="9983" max="9983" width="4" style="1" hidden="1"/>
    <col min="9984" max="9984" width="3.73046875" style="1" hidden="1"/>
    <col min="9985" max="9985" width="8.796875" style="1" hidden="1"/>
    <col min="9986" max="9986" width="2.46484375" style="1" hidden="1"/>
    <col min="9987" max="9993" width="2.796875" style="1" hidden="1"/>
    <col min="9994" max="9994" width="3.265625" style="1" hidden="1"/>
    <col min="9995" max="9997" width="2.796875" style="1" hidden="1"/>
    <col min="9998" max="9998" width="10.19921875" style="1" hidden="1"/>
    <col min="9999" max="9999" width="3.73046875" style="1" hidden="1"/>
    <col min="10000" max="10013" width="2.796875" style="1" hidden="1"/>
    <col min="10014" max="10014" width="14.19921875" style="1" hidden="1"/>
    <col min="10015" max="10237" width="8.796875" style="1" hidden="1"/>
    <col min="10238" max="10238" width="2.53125" style="1" hidden="1"/>
    <col min="10239" max="10239" width="4" style="1" hidden="1"/>
    <col min="10240" max="10240" width="3.73046875" style="1" hidden="1"/>
    <col min="10241" max="10241" width="8.796875" style="1" hidden="1"/>
    <col min="10242" max="10242" width="2.46484375" style="1" hidden="1"/>
    <col min="10243" max="10249" width="2.796875" style="1" hidden="1"/>
    <col min="10250" max="10250" width="3.265625" style="1" hidden="1"/>
    <col min="10251" max="10253" width="2.796875" style="1" hidden="1"/>
    <col min="10254" max="10254" width="10.19921875" style="1" hidden="1"/>
    <col min="10255" max="10255" width="3.73046875" style="1" hidden="1"/>
    <col min="10256" max="10269" width="2.796875" style="1" hidden="1"/>
    <col min="10270" max="10270" width="14.19921875" style="1" hidden="1"/>
    <col min="10271" max="10493" width="8.796875" style="1" hidden="1"/>
    <col min="10494" max="10494" width="2.53125" style="1" hidden="1"/>
    <col min="10495" max="10495" width="4" style="1" hidden="1"/>
    <col min="10496" max="10496" width="3.73046875" style="1" hidden="1"/>
    <col min="10497" max="10497" width="8.796875" style="1" hidden="1"/>
    <col min="10498" max="10498" width="2.46484375" style="1" hidden="1"/>
    <col min="10499" max="10505" width="2.796875" style="1" hidden="1"/>
    <col min="10506" max="10506" width="3.265625" style="1" hidden="1"/>
    <col min="10507" max="10509" width="2.796875" style="1" hidden="1"/>
    <col min="10510" max="10510" width="10.19921875" style="1" hidden="1"/>
    <col min="10511" max="10511" width="3.73046875" style="1" hidden="1"/>
    <col min="10512" max="10525" width="2.796875" style="1" hidden="1"/>
    <col min="10526" max="10526" width="14.19921875" style="1" hidden="1"/>
    <col min="10527" max="10749" width="8.796875" style="1" hidden="1"/>
    <col min="10750" max="10750" width="2.53125" style="1" hidden="1"/>
    <col min="10751" max="10751" width="4" style="1" hidden="1"/>
    <col min="10752" max="10752" width="3.73046875" style="1" hidden="1"/>
    <col min="10753" max="10753" width="8.796875" style="1" hidden="1"/>
    <col min="10754" max="10754" width="2.46484375" style="1" hidden="1"/>
    <col min="10755" max="10761" width="2.796875" style="1" hidden="1"/>
    <col min="10762" max="10762" width="3.265625" style="1" hidden="1"/>
    <col min="10763" max="10765" width="2.796875" style="1" hidden="1"/>
    <col min="10766" max="10766" width="10.19921875" style="1" hidden="1"/>
    <col min="10767" max="10767" width="3.73046875" style="1" hidden="1"/>
    <col min="10768" max="10781" width="2.796875" style="1" hidden="1"/>
    <col min="10782" max="10782" width="14.19921875" style="1" hidden="1"/>
    <col min="10783" max="11005" width="8.796875" style="1" hidden="1"/>
    <col min="11006" max="11006" width="2.53125" style="1" hidden="1"/>
    <col min="11007" max="11007" width="4" style="1" hidden="1"/>
    <col min="11008" max="11008" width="3.73046875" style="1" hidden="1"/>
    <col min="11009" max="11009" width="8.796875" style="1" hidden="1"/>
    <col min="11010" max="11010" width="2.46484375" style="1" hidden="1"/>
    <col min="11011" max="11017" width="2.796875" style="1" hidden="1"/>
    <col min="11018" max="11018" width="3.265625" style="1" hidden="1"/>
    <col min="11019" max="11021" width="2.796875" style="1" hidden="1"/>
    <col min="11022" max="11022" width="10.19921875" style="1" hidden="1"/>
    <col min="11023" max="11023" width="3.73046875" style="1" hidden="1"/>
    <col min="11024" max="11037" width="2.796875" style="1" hidden="1"/>
    <col min="11038" max="11038" width="14.19921875" style="1" hidden="1"/>
    <col min="11039" max="11261" width="8.796875" style="1" hidden="1"/>
    <col min="11262" max="11262" width="2.53125" style="1" hidden="1"/>
    <col min="11263" max="11263" width="4" style="1" hidden="1"/>
    <col min="11264" max="11264" width="3.73046875" style="1" hidden="1"/>
    <col min="11265" max="11265" width="8.796875" style="1" hidden="1"/>
    <col min="11266" max="11266" width="2.46484375" style="1" hidden="1"/>
    <col min="11267" max="11273" width="2.796875" style="1" hidden="1"/>
    <col min="11274" max="11274" width="3.265625" style="1" hidden="1"/>
    <col min="11275" max="11277" width="2.796875" style="1" hidden="1"/>
    <col min="11278" max="11278" width="10.19921875" style="1" hidden="1"/>
    <col min="11279" max="11279" width="3.73046875" style="1" hidden="1"/>
    <col min="11280" max="11293" width="2.796875" style="1" hidden="1"/>
    <col min="11294" max="11294" width="14.19921875" style="1" hidden="1"/>
    <col min="11295" max="11517" width="8.796875" style="1" hidden="1"/>
    <col min="11518" max="11518" width="2.53125" style="1" hidden="1"/>
    <col min="11519" max="11519" width="4" style="1" hidden="1"/>
    <col min="11520" max="11520" width="3.73046875" style="1" hidden="1"/>
    <col min="11521" max="11521" width="8.796875" style="1" hidden="1"/>
    <col min="11522" max="11522" width="2.46484375" style="1" hidden="1"/>
    <col min="11523" max="11529" width="2.796875" style="1" hidden="1"/>
    <col min="11530" max="11530" width="3.265625" style="1" hidden="1"/>
    <col min="11531" max="11533" width="2.796875" style="1" hidden="1"/>
    <col min="11534" max="11534" width="10.19921875" style="1" hidden="1"/>
    <col min="11535" max="11535" width="3.73046875" style="1" hidden="1"/>
    <col min="11536" max="11549" width="2.796875" style="1" hidden="1"/>
    <col min="11550" max="11550" width="14.19921875" style="1" hidden="1"/>
    <col min="11551" max="11773" width="8.796875" style="1" hidden="1"/>
    <col min="11774" max="11774" width="2.53125" style="1" hidden="1"/>
    <col min="11775" max="11775" width="4" style="1" hidden="1"/>
    <col min="11776" max="11776" width="3.73046875" style="1" hidden="1"/>
    <col min="11777" max="11777" width="8.796875" style="1" hidden="1"/>
    <col min="11778" max="11778" width="2.46484375" style="1" hidden="1"/>
    <col min="11779" max="11785" width="2.796875" style="1" hidden="1"/>
    <col min="11786" max="11786" width="3.265625" style="1" hidden="1"/>
    <col min="11787" max="11789" width="2.796875" style="1" hidden="1"/>
    <col min="11790" max="11790" width="10.19921875" style="1" hidden="1"/>
    <col min="11791" max="11791" width="3.73046875" style="1" hidden="1"/>
    <col min="11792" max="11805" width="2.796875" style="1" hidden="1"/>
    <col min="11806" max="11806" width="14.19921875" style="1" hidden="1"/>
    <col min="11807" max="12029" width="8.796875" style="1" hidden="1"/>
    <col min="12030" max="12030" width="2.53125" style="1" hidden="1"/>
    <col min="12031" max="12031" width="4" style="1" hidden="1"/>
    <col min="12032" max="12032" width="3.73046875" style="1" hidden="1"/>
    <col min="12033" max="12033" width="8.796875" style="1" hidden="1"/>
    <col min="12034" max="12034" width="2.46484375" style="1" hidden="1"/>
    <col min="12035" max="12041" width="2.796875" style="1" hidden="1"/>
    <col min="12042" max="12042" width="3.265625" style="1" hidden="1"/>
    <col min="12043" max="12045" width="2.796875" style="1" hidden="1"/>
    <col min="12046" max="12046" width="10.19921875" style="1" hidden="1"/>
    <col min="12047" max="12047" width="3.73046875" style="1" hidden="1"/>
    <col min="12048" max="12061" width="2.796875" style="1" hidden="1"/>
    <col min="12062" max="12062" width="14.19921875" style="1" hidden="1"/>
    <col min="12063" max="12285" width="8.796875" style="1" hidden="1"/>
    <col min="12286" max="12286" width="2.53125" style="1" hidden="1"/>
    <col min="12287" max="12287" width="4" style="1" hidden="1"/>
    <col min="12288" max="12288" width="3.73046875" style="1" hidden="1"/>
    <col min="12289" max="12289" width="8.796875" style="1" hidden="1"/>
    <col min="12290" max="12290" width="2.46484375" style="1" hidden="1"/>
    <col min="12291" max="12297" width="2.796875" style="1" hidden="1"/>
    <col min="12298" max="12298" width="3.265625" style="1" hidden="1"/>
    <col min="12299" max="12301" width="2.796875" style="1" hidden="1"/>
    <col min="12302" max="12302" width="10.19921875" style="1" hidden="1"/>
    <col min="12303" max="12303" width="3.73046875" style="1" hidden="1"/>
    <col min="12304" max="12317" width="2.796875" style="1" hidden="1"/>
    <col min="12318" max="12318" width="14.19921875" style="1" hidden="1"/>
    <col min="12319" max="12541" width="8.796875" style="1" hidden="1"/>
    <col min="12542" max="12542" width="2.53125" style="1" hidden="1"/>
    <col min="12543" max="12543" width="4" style="1" hidden="1"/>
    <col min="12544" max="12544" width="3.73046875" style="1" hidden="1"/>
    <col min="12545" max="12545" width="8.796875" style="1" hidden="1"/>
    <col min="12546" max="12546" width="2.46484375" style="1" hidden="1"/>
    <col min="12547" max="12553" width="2.796875" style="1" hidden="1"/>
    <col min="12554" max="12554" width="3.265625" style="1" hidden="1"/>
    <col min="12555" max="12557" width="2.796875" style="1" hidden="1"/>
    <col min="12558" max="12558" width="10.19921875" style="1" hidden="1"/>
    <col min="12559" max="12559" width="3.73046875" style="1" hidden="1"/>
    <col min="12560" max="12573" width="2.796875" style="1" hidden="1"/>
    <col min="12574" max="12574" width="14.19921875" style="1" hidden="1"/>
    <col min="12575" max="12797" width="8.796875" style="1" hidden="1"/>
    <col min="12798" max="12798" width="2.53125" style="1" hidden="1"/>
    <col min="12799" max="12799" width="4" style="1" hidden="1"/>
    <col min="12800" max="12800" width="3.73046875" style="1" hidden="1"/>
    <col min="12801" max="12801" width="8.796875" style="1" hidden="1"/>
    <col min="12802" max="12802" width="2.46484375" style="1" hidden="1"/>
    <col min="12803" max="12809" width="2.796875" style="1" hidden="1"/>
    <col min="12810" max="12810" width="3.265625" style="1" hidden="1"/>
    <col min="12811" max="12813" width="2.796875" style="1" hidden="1"/>
    <col min="12814" max="12814" width="10.19921875" style="1" hidden="1"/>
    <col min="12815" max="12815" width="3.73046875" style="1" hidden="1"/>
    <col min="12816" max="12829" width="2.796875" style="1" hidden="1"/>
    <col min="12830" max="12830" width="14.19921875" style="1" hidden="1"/>
    <col min="12831" max="13053" width="8.796875" style="1" hidden="1"/>
    <col min="13054" max="13054" width="2.53125" style="1" hidden="1"/>
    <col min="13055" max="13055" width="4" style="1" hidden="1"/>
    <col min="13056" max="13056" width="3.73046875" style="1" hidden="1"/>
    <col min="13057" max="13057" width="8.796875" style="1" hidden="1"/>
    <col min="13058" max="13058" width="2.46484375" style="1" hidden="1"/>
    <col min="13059" max="13065" width="2.796875" style="1" hidden="1"/>
    <col min="13066" max="13066" width="3.265625" style="1" hidden="1"/>
    <col min="13067" max="13069" width="2.796875" style="1" hidden="1"/>
    <col min="13070" max="13070" width="10.19921875" style="1" hidden="1"/>
    <col min="13071" max="13071" width="3.73046875" style="1" hidden="1"/>
    <col min="13072" max="13085" width="2.796875" style="1" hidden="1"/>
    <col min="13086" max="13086" width="14.19921875" style="1" hidden="1"/>
    <col min="13087" max="13309" width="8.796875" style="1" hidden="1"/>
    <col min="13310" max="13310" width="2.53125" style="1" hidden="1"/>
    <col min="13311" max="13311" width="4" style="1" hidden="1"/>
    <col min="13312" max="13312" width="3.73046875" style="1" hidden="1"/>
    <col min="13313" max="13313" width="8.796875" style="1" hidden="1"/>
    <col min="13314" max="13314" width="2.46484375" style="1" hidden="1"/>
    <col min="13315" max="13321" width="2.796875" style="1" hidden="1"/>
    <col min="13322" max="13322" width="3.265625" style="1" hidden="1"/>
    <col min="13323" max="13325" width="2.796875" style="1" hidden="1"/>
    <col min="13326" max="13326" width="10.19921875" style="1" hidden="1"/>
    <col min="13327" max="13327" width="3.73046875" style="1" hidden="1"/>
    <col min="13328" max="13341" width="2.796875" style="1" hidden="1"/>
    <col min="13342" max="13342" width="14.19921875" style="1" hidden="1"/>
    <col min="13343" max="13565" width="8.796875" style="1" hidden="1"/>
    <col min="13566" max="13566" width="2.53125" style="1" hidden="1"/>
    <col min="13567" max="13567" width="4" style="1" hidden="1"/>
    <col min="13568" max="13568" width="3.73046875" style="1" hidden="1"/>
    <col min="13569" max="13569" width="8.796875" style="1" hidden="1"/>
    <col min="13570" max="13570" width="2.46484375" style="1" hidden="1"/>
    <col min="13571" max="13577" width="2.796875" style="1" hidden="1"/>
    <col min="13578" max="13578" width="3.265625" style="1" hidden="1"/>
    <col min="13579" max="13581" width="2.796875" style="1" hidden="1"/>
    <col min="13582" max="13582" width="10.19921875" style="1" hidden="1"/>
    <col min="13583" max="13583" width="3.73046875" style="1" hidden="1"/>
    <col min="13584" max="13597" width="2.796875" style="1" hidden="1"/>
    <col min="13598" max="13598" width="14.19921875" style="1" hidden="1"/>
    <col min="13599" max="13821" width="8.796875" style="1" hidden="1"/>
    <col min="13822" max="13822" width="2.53125" style="1" hidden="1"/>
    <col min="13823" max="13823" width="4" style="1" hidden="1"/>
    <col min="13824" max="13824" width="3.73046875" style="1" hidden="1"/>
    <col min="13825" max="13825" width="8.796875" style="1" hidden="1"/>
    <col min="13826" max="13826" width="2.46484375" style="1" hidden="1"/>
    <col min="13827" max="13833" width="2.796875" style="1" hidden="1"/>
    <col min="13834" max="13834" width="3.265625" style="1" hidden="1"/>
    <col min="13835" max="13837" width="2.796875" style="1" hidden="1"/>
    <col min="13838" max="13838" width="10.19921875" style="1" hidden="1"/>
    <col min="13839" max="13839" width="3.73046875" style="1" hidden="1"/>
    <col min="13840" max="13853" width="2.796875" style="1" hidden="1"/>
    <col min="13854" max="13854" width="14.19921875" style="1" hidden="1"/>
    <col min="13855" max="14077" width="8.796875" style="1" hidden="1"/>
    <col min="14078" max="14078" width="2.53125" style="1" hidden="1"/>
    <col min="14079" max="14079" width="4" style="1" hidden="1"/>
    <col min="14080" max="14080" width="3.73046875" style="1" hidden="1"/>
    <col min="14081" max="14081" width="8.796875" style="1" hidden="1"/>
    <col min="14082" max="14082" width="2.46484375" style="1" hidden="1"/>
    <col min="14083" max="14089" width="2.796875" style="1" hidden="1"/>
    <col min="14090" max="14090" width="3.265625" style="1" hidden="1"/>
    <col min="14091" max="14093" width="2.796875" style="1" hidden="1"/>
    <col min="14094" max="14094" width="10.19921875" style="1" hidden="1"/>
    <col min="14095" max="14095" width="3.73046875" style="1" hidden="1"/>
    <col min="14096" max="14109" width="2.796875" style="1" hidden="1"/>
    <col min="14110" max="14110" width="14.19921875" style="1" hidden="1"/>
    <col min="14111" max="14333" width="8.796875" style="1" hidden="1"/>
    <col min="14334" max="14334" width="2.53125" style="1" hidden="1"/>
    <col min="14335" max="14335" width="4" style="1" hidden="1"/>
    <col min="14336" max="14336" width="3.73046875" style="1" hidden="1"/>
    <col min="14337" max="14337" width="8.796875" style="1" hidden="1"/>
    <col min="14338" max="14338" width="2.46484375" style="1" hidden="1"/>
    <col min="14339" max="14345" width="2.796875" style="1" hidden="1"/>
    <col min="14346" max="14346" width="3.265625" style="1" hidden="1"/>
    <col min="14347" max="14349" width="2.796875" style="1" hidden="1"/>
    <col min="14350" max="14350" width="10.19921875" style="1" hidden="1"/>
    <col min="14351" max="14351" width="3.73046875" style="1" hidden="1"/>
    <col min="14352" max="14365" width="2.796875" style="1" hidden="1"/>
    <col min="14366" max="14366" width="14.19921875" style="1" hidden="1"/>
    <col min="14367" max="14589" width="8.796875" style="1" hidden="1"/>
    <col min="14590" max="14590" width="2.53125" style="1" hidden="1"/>
    <col min="14591" max="14591" width="4" style="1" hidden="1"/>
    <col min="14592" max="14592" width="3.73046875" style="1" hidden="1"/>
    <col min="14593" max="14593" width="8.796875" style="1" hidden="1"/>
    <col min="14594" max="14594" width="2.46484375" style="1" hidden="1"/>
    <col min="14595" max="14601" width="2.796875" style="1" hidden="1"/>
    <col min="14602" max="14602" width="3.265625" style="1" hidden="1"/>
    <col min="14603" max="14605" width="2.796875" style="1" hidden="1"/>
    <col min="14606" max="14606" width="10.19921875" style="1" hidden="1"/>
    <col min="14607" max="14607" width="3.73046875" style="1" hidden="1"/>
    <col min="14608" max="14621" width="2.796875" style="1" hidden="1"/>
    <col min="14622" max="14622" width="14.19921875" style="1" hidden="1"/>
    <col min="14623" max="14845" width="8.796875" style="1" hidden="1"/>
    <col min="14846" max="14846" width="2.53125" style="1" hidden="1"/>
    <col min="14847" max="14847" width="4" style="1" hidden="1"/>
    <col min="14848" max="14848" width="3.73046875" style="1" hidden="1"/>
    <col min="14849" max="14849" width="8.796875" style="1" hidden="1"/>
    <col min="14850" max="14850" width="2.46484375" style="1" hidden="1"/>
    <col min="14851" max="14857" width="2.796875" style="1" hidden="1"/>
    <col min="14858" max="14858" width="3.265625" style="1" hidden="1"/>
    <col min="14859" max="14861" width="2.796875" style="1" hidden="1"/>
    <col min="14862" max="14862" width="10.19921875" style="1" hidden="1"/>
    <col min="14863" max="14863" width="3.73046875" style="1" hidden="1"/>
    <col min="14864" max="14877" width="2.796875" style="1" hidden="1"/>
    <col min="14878" max="14878" width="14.19921875" style="1" hidden="1"/>
    <col min="14879" max="15101" width="8.796875" style="1" hidden="1"/>
    <col min="15102" max="15102" width="2.53125" style="1" hidden="1"/>
    <col min="15103" max="15103" width="4" style="1" hidden="1"/>
    <col min="15104" max="15104" width="3.73046875" style="1" hidden="1"/>
    <col min="15105" max="15105" width="8.796875" style="1" hidden="1"/>
    <col min="15106" max="15106" width="2.46484375" style="1" hidden="1"/>
    <col min="15107" max="15113" width="2.796875" style="1" hidden="1"/>
    <col min="15114" max="15114" width="3.265625" style="1" hidden="1"/>
    <col min="15115" max="15117" width="2.796875" style="1" hidden="1"/>
    <col min="15118" max="15118" width="10.19921875" style="1" hidden="1"/>
    <col min="15119" max="15119" width="3.73046875" style="1" hidden="1"/>
    <col min="15120" max="15133" width="2.796875" style="1" hidden="1"/>
    <col min="15134" max="15134" width="14.19921875" style="1" hidden="1"/>
    <col min="15135" max="15357" width="8.796875" style="1" hidden="1"/>
    <col min="15358" max="15358" width="2.53125" style="1" hidden="1"/>
    <col min="15359" max="15359" width="4" style="1" hidden="1"/>
    <col min="15360" max="15360" width="3.73046875" style="1" hidden="1"/>
    <col min="15361" max="15361" width="8.796875" style="1" hidden="1"/>
    <col min="15362" max="15362" width="2.46484375" style="1" hidden="1"/>
    <col min="15363" max="15369" width="2.796875" style="1" hidden="1"/>
    <col min="15370" max="15370" width="3.265625" style="1" hidden="1"/>
    <col min="15371" max="15373" width="2.796875" style="1" hidden="1"/>
    <col min="15374" max="15374" width="10.19921875" style="1" hidden="1"/>
    <col min="15375" max="15375" width="3.73046875" style="1" hidden="1"/>
    <col min="15376" max="15389" width="2.796875" style="1" hidden="1"/>
    <col min="15390" max="15390" width="14.19921875" style="1" hidden="1"/>
    <col min="15391" max="15613" width="8.796875" style="1" hidden="1"/>
    <col min="15614" max="15614" width="2.53125" style="1" hidden="1"/>
    <col min="15615" max="15615" width="4" style="1" hidden="1"/>
    <col min="15616" max="15616" width="3.73046875" style="1" hidden="1"/>
    <col min="15617" max="15617" width="8.796875" style="1" hidden="1"/>
    <col min="15618" max="15618" width="2.46484375" style="1" hidden="1"/>
    <col min="15619" max="15625" width="2.796875" style="1" hidden="1"/>
    <col min="15626" max="15626" width="3.265625" style="1" hidden="1"/>
    <col min="15627" max="15629" width="2.796875" style="1" hidden="1"/>
    <col min="15630" max="15630" width="10.19921875" style="1" hidden="1"/>
    <col min="15631" max="15631" width="3.73046875" style="1" hidden="1"/>
    <col min="15632" max="15645" width="2.796875" style="1" hidden="1"/>
    <col min="15646" max="15646" width="14.19921875" style="1" hidden="1"/>
    <col min="15647" max="15869" width="8.796875" style="1" hidden="1"/>
    <col min="15870" max="15870" width="2.53125" style="1" hidden="1"/>
    <col min="15871" max="15871" width="4" style="1" hidden="1"/>
    <col min="15872" max="15872" width="3.73046875" style="1" hidden="1"/>
    <col min="15873" max="15873" width="8.796875" style="1" hidden="1"/>
    <col min="15874" max="15874" width="2.46484375" style="1" hidden="1"/>
    <col min="15875" max="15881" width="2.796875" style="1" hidden="1"/>
    <col min="15882" max="15882" width="3.265625" style="1" hidden="1"/>
    <col min="15883" max="15885" width="2.796875" style="1" hidden="1"/>
    <col min="15886" max="15886" width="10.19921875" style="1" hidden="1"/>
    <col min="15887" max="15887" width="3.73046875" style="1" hidden="1"/>
    <col min="15888" max="15901" width="2.796875" style="1" hidden="1"/>
    <col min="15902" max="15902" width="14.19921875" style="1" hidden="1"/>
    <col min="15903" max="16125" width="8.796875" style="1" hidden="1"/>
    <col min="16126" max="16126" width="2.53125" style="1" hidden="1"/>
    <col min="16127" max="16127" width="4" style="1" hidden="1"/>
    <col min="16128" max="16128" width="3.73046875" style="1" hidden="1"/>
    <col min="16129" max="16129" width="8.796875" style="1" hidden="1"/>
    <col min="16130" max="16130" width="2.46484375" style="1" hidden="1"/>
    <col min="16131" max="16137" width="2.796875" style="1" hidden="1"/>
    <col min="16138" max="16138" width="3.265625" style="1" hidden="1"/>
    <col min="16139" max="16141" width="2.796875" style="1" hidden="1"/>
    <col min="16142" max="16142" width="10.19921875" style="1" hidden="1"/>
    <col min="16143" max="16143" width="3.73046875" style="1" hidden="1"/>
    <col min="16144" max="16157" width="2.796875" style="1" hidden="1"/>
    <col min="16158" max="16158" width="14.19921875" style="1" hidden="1"/>
    <col min="16159" max="16384" width="8.796875" style="1" hidden="1"/>
  </cols>
  <sheetData>
    <row r="1" spans="2:34" ht="40.049999999999997" customHeight="1" thickBot="1" x14ac:dyDescent="0.45"/>
    <row r="2" spans="2:34" ht="18" customHeight="1" thickBot="1" x14ac:dyDescent="0.45">
      <c r="B2" s="161"/>
      <c r="C2" s="162"/>
      <c r="D2" s="162"/>
      <c r="E2" s="162"/>
      <c r="F2" s="162"/>
      <c r="G2" s="162"/>
      <c r="H2" s="162"/>
      <c r="I2" s="162"/>
      <c r="J2" s="162"/>
      <c r="K2" s="162"/>
      <c r="L2" s="162"/>
      <c r="M2" s="162"/>
      <c r="N2" s="162"/>
      <c r="O2" s="162"/>
      <c r="P2" s="162"/>
      <c r="Q2" s="162"/>
      <c r="R2" s="162"/>
      <c r="S2" s="162"/>
      <c r="T2" s="162"/>
      <c r="U2" s="162"/>
      <c r="V2" s="162"/>
      <c r="W2" s="162"/>
      <c r="X2" s="162"/>
      <c r="Y2" s="162"/>
      <c r="Z2" s="162"/>
      <c r="AA2" s="162"/>
      <c r="AB2" s="197"/>
      <c r="AC2" s="475" t="s">
        <v>10</v>
      </c>
      <c r="AD2" s="476"/>
      <c r="AE2" s="476"/>
      <c r="AF2" s="476"/>
      <c r="AG2" s="476"/>
      <c r="AH2" s="477"/>
    </row>
    <row r="3" spans="2:34" s="15" customFormat="1" ht="16.05" customHeight="1" x14ac:dyDescent="0.45">
      <c r="B3" s="416" t="s">
        <v>0</v>
      </c>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418"/>
      <c r="AC3" s="419" t="s">
        <v>11</v>
      </c>
      <c r="AD3" s="420"/>
      <c r="AE3" s="420"/>
      <c r="AF3" s="420"/>
      <c r="AG3" s="420"/>
      <c r="AH3" s="421"/>
    </row>
    <row r="4" spans="2:34" s="15" customFormat="1" ht="16.05" customHeight="1" thickBot="1" x14ac:dyDescent="0.5">
      <c r="B4" s="410" t="s">
        <v>1</v>
      </c>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2"/>
      <c r="AC4" s="422">
        <f>Input!C8</f>
        <v>1</v>
      </c>
      <c r="AD4" s="423"/>
      <c r="AE4" s="423"/>
      <c r="AF4" s="423"/>
      <c r="AG4" s="423"/>
      <c r="AH4" s="424"/>
    </row>
    <row r="5" spans="2:34" s="15" customFormat="1" ht="16.05" customHeight="1" x14ac:dyDescent="0.45">
      <c r="B5" s="410" t="s">
        <v>6</v>
      </c>
      <c r="C5" s="411"/>
      <c r="D5" s="411"/>
      <c r="E5" s="411"/>
      <c r="F5" s="411"/>
      <c r="G5" s="411"/>
      <c r="H5" s="411"/>
      <c r="I5" s="411"/>
      <c r="J5" s="411"/>
      <c r="K5" s="411"/>
      <c r="L5" s="411"/>
      <c r="M5" s="411"/>
      <c r="N5" s="411"/>
      <c r="O5" s="411"/>
      <c r="P5" s="411"/>
      <c r="Q5" s="411"/>
      <c r="R5" s="411"/>
      <c r="S5" s="411"/>
      <c r="T5" s="411"/>
      <c r="U5" s="411"/>
      <c r="V5" s="411"/>
      <c r="W5" s="411"/>
      <c r="X5" s="411"/>
      <c r="Y5" s="411"/>
      <c r="Z5" s="411"/>
      <c r="AA5" s="411"/>
      <c r="AB5" s="412"/>
      <c r="AC5" s="413" t="s">
        <v>12</v>
      </c>
      <c r="AD5" s="414"/>
      <c r="AE5" s="414"/>
      <c r="AF5" s="414"/>
      <c r="AG5" s="414"/>
      <c r="AH5" s="415"/>
    </row>
    <row r="6" spans="2:34" s="15" customFormat="1" ht="16.05" customHeight="1" thickBot="1" x14ac:dyDescent="0.5">
      <c r="B6" s="416" t="s">
        <v>13</v>
      </c>
      <c r="C6" s="417"/>
      <c r="D6" s="417"/>
      <c r="E6" s="417"/>
      <c r="F6" s="417"/>
      <c r="G6" s="417"/>
      <c r="H6" s="417"/>
      <c r="I6" s="417"/>
      <c r="J6" s="417"/>
      <c r="K6" s="417"/>
      <c r="L6" s="417"/>
      <c r="M6" s="417"/>
      <c r="N6" s="417"/>
      <c r="O6" s="417"/>
      <c r="P6" s="417"/>
      <c r="Q6" s="417"/>
      <c r="R6" s="417"/>
      <c r="S6" s="417"/>
      <c r="T6" s="417"/>
      <c r="U6" s="417"/>
      <c r="V6" s="417"/>
      <c r="W6" s="417"/>
      <c r="X6" s="417"/>
      <c r="Y6" s="417"/>
      <c r="Z6" s="417"/>
      <c r="AA6" s="417"/>
      <c r="AB6" s="235"/>
      <c r="AC6" s="425"/>
      <c r="AD6" s="426"/>
      <c r="AE6" s="426"/>
      <c r="AF6" s="426"/>
      <c r="AG6" s="426"/>
      <c r="AH6" s="427"/>
    </row>
    <row r="7" spans="2:34" ht="18" customHeight="1" x14ac:dyDescent="0.4">
      <c r="B7" s="416" t="s">
        <v>86</v>
      </c>
      <c r="C7" s="417"/>
      <c r="D7" s="417"/>
      <c r="E7" s="417"/>
      <c r="F7" s="417"/>
      <c r="G7" s="417"/>
      <c r="H7" s="417"/>
      <c r="I7" s="417"/>
      <c r="J7" s="417"/>
      <c r="K7" s="417"/>
      <c r="L7" s="417"/>
      <c r="M7" s="417"/>
      <c r="N7" s="417"/>
      <c r="O7" s="417"/>
      <c r="P7" s="417"/>
      <c r="Q7" s="417"/>
      <c r="R7" s="417"/>
      <c r="S7" s="417"/>
      <c r="T7" s="417"/>
      <c r="U7" s="417"/>
      <c r="V7" s="417"/>
      <c r="W7" s="417"/>
      <c r="X7" s="417"/>
      <c r="Y7" s="417"/>
      <c r="Z7" s="417"/>
      <c r="AA7" s="417"/>
      <c r="AB7" s="418"/>
      <c r="AC7" s="428" t="s">
        <v>14</v>
      </c>
      <c r="AD7" s="429"/>
      <c r="AE7" s="429"/>
      <c r="AF7" s="429"/>
      <c r="AG7" s="429"/>
      <c r="AH7" s="430"/>
    </row>
    <row r="8" spans="2:34" ht="18" customHeight="1" x14ac:dyDescent="0.4">
      <c r="B8" s="229"/>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1"/>
      <c r="AC8" s="410"/>
      <c r="AD8" s="411"/>
      <c r="AE8" s="411"/>
      <c r="AF8" s="411"/>
      <c r="AG8" s="411"/>
      <c r="AH8" s="412"/>
    </row>
    <row r="9" spans="2:34" ht="18" customHeight="1" x14ac:dyDescent="0.4">
      <c r="B9" s="431" t="s">
        <v>15</v>
      </c>
      <c r="C9" s="432"/>
      <c r="D9" s="432"/>
      <c r="E9" s="432"/>
      <c r="F9" s="432"/>
      <c r="G9" s="432"/>
      <c r="H9" s="432"/>
      <c r="I9" s="432"/>
      <c r="J9" s="432"/>
      <c r="K9" s="432"/>
      <c r="L9" s="432"/>
      <c r="M9" s="432"/>
      <c r="N9" s="432"/>
      <c r="O9" s="432"/>
      <c r="P9" s="432"/>
      <c r="Q9" s="432"/>
      <c r="R9" s="432"/>
      <c r="S9" s="432"/>
      <c r="T9" s="432"/>
      <c r="U9" s="432"/>
      <c r="V9" s="432"/>
      <c r="W9" s="432"/>
      <c r="X9" s="432"/>
      <c r="Y9" s="432"/>
      <c r="Z9" s="432"/>
      <c r="AA9" s="432"/>
      <c r="AB9" s="433"/>
      <c r="AC9" s="410"/>
      <c r="AD9" s="411"/>
      <c r="AE9" s="411"/>
      <c r="AF9" s="411"/>
      <c r="AG9" s="411"/>
      <c r="AH9" s="412"/>
    </row>
    <row r="10" spans="2:34" ht="18" customHeight="1" thickBot="1" x14ac:dyDescent="0.45">
      <c r="B10" s="472"/>
      <c r="C10" s="473"/>
      <c r="D10" s="473"/>
      <c r="E10" s="473"/>
      <c r="F10" s="473"/>
      <c r="G10" s="473"/>
      <c r="H10" s="473"/>
      <c r="I10" s="473"/>
      <c r="J10" s="473"/>
      <c r="K10" s="473"/>
      <c r="L10" s="473"/>
      <c r="M10" s="473"/>
      <c r="N10" s="473"/>
      <c r="O10" s="473"/>
      <c r="P10" s="473"/>
      <c r="Q10" s="473"/>
      <c r="R10" s="473"/>
      <c r="S10" s="473"/>
      <c r="T10" s="473"/>
      <c r="U10" s="473"/>
      <c r="V10" s="473"/>
      <c r="W10" s="473"/>
      <c r="X10" s="473"/>
      <c r="Y10" s="473"/>
      <c r="Z10" s="473"/>
      <c r="AA10" s="473"/>
      <c r="AB10" s="474"/>
      <c r="AC10" s="469"/>
      <c r="AD10" s="470"/>
      <c r="AE10" s="470"/>
      <c r="AF10" s="470"/>
      <c r="AG10" s="470"/>
      <c r="AH10" s="471"/>
    </row>
    <row r="11" spans="2:34" ht="18" customHeight="1" thickBot="1" x14ac:dyDescent="0.45">
      <c r="B11" s="434" t="s">
        <v>16</v>
      </c>
      <c r="C11" s="434"/>
      <c r="D11" s="434"/>
      <c r="E11" s="3"/>
      <c r="F11" s="503"/>
      <c r="G11" s="504"/>
      <c r="H11" s="504"/>
      <c r="I11" s="504"/>
      <c r="J11" s="504"/>
      <c r="K11" s="504"/>
      <c r="L11" s="504"/>
      <c r="M11" s="504"/>
      <c r="N11" s="504"/>
      <c r="O11" s="504"/>
      <c r="P11" s="504"/>
      <c r="Q11" s="504"/>
      <c r="R11" s="504"/>
      <c r="S11" s="504"/>
      <c r="T11" s="504"/>
      <c r="U11" s="504"/>
      <c r="V11" s="504"/>
      <c r="W11" s="504"/>
      <c r="X11" s="504"/>
      <c r="Y11" s="504"/>
      <c r="Z11" s="504"/>
      <c r="AA11" s="504"/>
      <c r="AB11" s="504"/>
      <c r="AC11" s="504"/>
      <c r="AD11" s="504"/>
      <c r="AE11" s="504"/>
      <c r="AF11" s="504"/>
      <c r="AG11" s="504"/>
      <c r="AH11" s="505"/>
    </row>
    <row r="12" spans="2:34" ht="18" customHeight="1" thickBot="1" x14ac:dyDescent="0.45">
      <c r="B12" s="434"/>
      <c r="C12" s="434"/>
      <c r="D12" s="434"/>
      <c r="E12" s="223"/>
      <c r="F12" s="232"/>
      <c r="G12" s="233"/>
      <c r="H12" s="175"/>
      <c r="I12" s="181" t="s">
        <v>17</v>
      </c>
      <c r="J12" s="176"/>
      <c r="K12" s="176"/>
      <c r="L12" s="176"/>
      <c r="M12" s="176"/>
      <c r="N12" s="195"/>
      <c r="O12" s="181" t="s">
        <v>18</v>
      </c>
      <c r="P12" s="176"/>
      <c r="Q12" s="176"/>
      <c r="R12" s="176"/>
      <c r="S12" s="175"/>
      <c r="T12" s="181" t="s">
        <v>19</v>
      </c>
      <c r="U12" s="176"/>
      <c r="V12" s="233"/>
      <c r="W12" s="176"/>
      <c r="X12" s="176"/>
      <c r="Y12" s="175"/>
      <c r="Z12" s="181" t="s">
        <v>20</v>
      </c>
      <c r="AA12" s="176"/>
      <c r="AB12" s="176"/>
      <c r="AC12" s="176"/>
      <c r="AD12" s="176"/>
      <c r="AE12" s="176"/>
      <c r="AF12" s="233"/>
      <c r="AG12" s="233"/>
      <c r="AH12" s="234"/>
    </row>
    <row r="13" spans="2:34" ht="18" customHeight="1" thickBot="1" x14ac:dyDescent="0.45">
      <c r="B13" s="434"/>
      <c r="C13" s="434"/>
      <c r="D13" s="434"/>
      <c r="E13" s="7"/>
      <c r="F13" s="196"/>
      <c r="G13" s="228"/>
      <c r="H13" s="228"/>
      <c r="I13" s="228"/>
      <c r="J13" s="163"/>
      <c r="K13" s="463"/>
      <c r="L13" s="463"/>
      <c r="M13" s="463"/>
      <c r="N13" s="463"/>
      <c r="O13" s="228"/>
      <c r="P13" s="463"/>
      <c r="Q13" s="463"/>
      <c r="R13" s="463"/>
      <c r="S13" s="463"/>
      <c r="T13" s="463"/>
      <c r="U13" s="463"/>
      <c r="V13" s="228"/>
      <c r="W13" s="228"/>
      <c r="X13" s="228"/>
      <c r="Y13" s="228"/>
      <c r="Z13" s="228"/>
      <c r="AA13" s="228"/>
      <c r="AB13" s="164"/>
      <c r="AC13" s="228"/>
      <c r="AD13" s="228"/>
      <c r="AE13" s="228"/>
      <c r="AF13" s="228"/>
      <c r="AG13" s="228"/>
      <c r="AH13" s="165"/>
    </row>
    <row r="14" spans="2:34" ht="18" customHeight="1" thickBot="1" x14ac:dyDescent="0.45">
      <c r="B14" s="434" t="s">
        <v>21</v>
      </c>
      <c r="C14" s="434"/>
      <c r="D14" s="434"/>
      <c r="E14" s="194"/>
      <c r="F14" s="434" t="str">
        <f>Input!C2</f>
        <v>James E. Rosales</v>
      </c>
      <c r="G14" s="434"/>
      <c r="H14" s="434"/>
      <c r="I14" s="434"/>
      <c r="J14" s="434"/>
      <c r="K14" s="434"/>
      <c r="L14" s="434"/>
      <c r="M14" s="434"/>
      <c r="N14" s="434"/>
      <c r="O14" s="434"/>
      <c r="P14" s="434"/>
      <c r="Q14" s="434"/>
      <c r="R14" s="434"/>
      <c r="S14" s="434"/>
      <c r="T14" s="435" t="s">
        <v>22</v>
      </c>
      <c r="U14" s="435"/>
      <c r="V14" s="435"/>
      <c r="W14" s="435"/>
      <c r="X14" s="435"/>
      <c r="Y14" s="435"/>
      <c r="Z14" s="435"/>
      <c r="AA14" s="435"/>
      <c r="AB14" s="435"/>
      <c r="AC14" s="436" t="s">
        <v>23</v>
      </c>
      <c r="AD14" s="436"/>
      <c r="AE14" s="436"/>
      <c r="AF14" s="436"/>
      <c r="AG14" s="436"/>
      <c r="AH14" s="436"/>
    </row>
    <row r="15" spans="2:34" ht="18" customHeight="1" thickBot="1" x14ac:dyDescent="0.45">
      <c r="B15" s="434"/>
      <c r="C15" s="434"/>
      <c r="D15" s="434"/>
      <c r="E15" s="194"/>
      <c r="F15" s="434"/>
      <c r="G15" s="434"/>
      <c r="H15" s="434"/>
      <c r="I15" s="434"/>
      <c r="J15" s="434"/>
      <c r="K15" s="434"/>
      <c r="L15" s="434"/>
      <c r="M15" s="434"/>
      <c r="N15" s="434"/>
      <c r="O15" s="434"/>
      <c r="P15" s="434"/>
      <c r="Q15" s="434"/>
      <c r="R15" s="434"/>
      <c r="S15" s="434"/>
      <c r="T15" s="437" t="str">
        <f>Input!C6</f>
        <v>633-884-331-0000</v>
      </c>
      <c r="U15" s="437"/>
      <c r="V15" s="437"/>
      <c r="W15" s="437"/>
      <c r="X15" s="437"/>
      <c r="Y15" s="437"/>
      <c r="Z15" s="437"/>
      <c r="AA15" s="437"/>
      <c r="AB15" s="437"/>
      <c r="AC15" s="438"/>
      <c r="AD15" s="438"/>
      <c r="AE15" s="438"/>
      <c r="AF15" s="438"/>
      <c r="AG15" s="438"/>
      <c r="AH15" s="438"/>
    </row>
    <row r="16" spans="2:34" ht="18" customHeight="1" thickBot="1" x14ac:dyDescent="0.45">
      <c r="B16" s="496" t="s">
        <v>7</v>
      </c>
      <c r="C16" s="496"/>
      <c r="D16" s="496"/>
      <c r="E16" s="194"/>
      <c r="F16" s="496" t="str">
        <f>Input!C3</f>
        <v>Purok-8 Slaughter, Obrero, Butuan City, Agusan del Norte</v>
      </c>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496"/>
      <c r="AE16" s="496"/>
      <c r="AF16" s="496"/>
      <c r="AG16" s="496"/>
      <c r="AH16" s="496"/>
    </row>
    <row r="17" spans="2:39" ht="18" customHeight="1" thickBot="1" x14ac:dyDescent="0.45">
      <c r="B17" s="496"/>
      <c r="C17" s="496"/>
      <c r="D17" s="496"/>
      <c r="E17" s="194"/>
      <c r="F17" s="496"/>
      <c r="G17" s="496"/>
      <c r="H17" s="496"/>
      <c r="I17" s="496"/>
      <c r="J17" s="496"/>
      <c r="K17" s="496"/>
      <c r="L17" s="496"/>
      <c r="M17" s="496"/>
      <c r="N17" s="496"/>
      <c r="O17" s="496"/>
      <c r="P17" s="496"/>
      <c r="Q17" s="496"/>
      <c r="R17" s="496"/>
      <c r="S17" s="497"/>
      <c r="T17" s="497"/>
      <c r="U17" s="497"/>
      <c r="V17" s="497"/>
      <c r="W17" s="497"/>
      <c r="X17" s="496"/>
      <c r="Y17" s="496"/>
      <c r="Z17" s="496"/>
      <c r="AA17" s="496"/>
      <c r="AB17" s="496"/>
      <c r="AC17" s="496"/>
      <c r="AD17" s="496"/>
      <c r="AE17" s="496"/>
      <c r="AF17" s="496"/>
      <c r="AG17" s="496"/>
      <c r="AH17" s="496"/>
    </row>
    <row r="18" spans="2:39" s="8" customFormat="1" ht="40.049999999999997" customHeight="1" thickBot="1" x14ac:dyDescent="0.45">
      <c r="B18" s="498" t="s">
        <v>24</v>
      </c>
      <c r="C18" s="499"/>
      <c r="D18" s="499"/>
      <c r="E18" s="499"/>
      <c r="F18" s="499"/>
      <c r="G18" s="499"/>
      <c r="H18" s="499"/>
      <c r="I18" s="499"/>
      <c r="J18" s="499"/>
      <c r="K18" s="499"/>
      <c r="L18" s="499"/>
      <c r="M18" s="499"/>
      <c r="N18" s="499"/>
      <c r="O18" s="499"/>
      <c r="P18" s="499"/>
      <c r="Q18" s="499"/>
      <c r="R18" s="499"/>
      <c r="S18" s="498" t="s">
        <v>25</v>
      </c>
      <c r="T18" s="500"/>
      <c r="U18" s="500"/>
      <c r="V18" s="500"/>
      <c r="W18" s="501"/>
      <c r="X18" s="498" t="s">
        <v>26</v>
      </c>
      <c r="Y18" s="499"/>
      <c r="Z18" s="499"/>
      <c r="AA18" s="499"/>
      <c r="AB18" s="502"/>
      <c r="AC18" s="498" t="s">
        <v>27</v>
      </c>
      <c r="AD18" s="499"/>
      <c r="AE18" s="499"/>
      <c r="AF18" s="499"/>
      <c r="AG18" s="499"/>
      <c r="AH18" s="502"/>
      <c r="AK18" s="222"/>
      <c r="AL18" s="222"/>
      <c r="AM18" s="222"/>
    </row>
    <row r="19" spans="2:39" ht="18" customHeight="1" x14ac:dyDescent="0.4">
      <c r="B19" s="487" t="str">
        <f>"FOR PAYMENT:" &amp; CHAR(10) &amp; CHAR(10) &amp; "For reimbursement of travel expenses incurred during official travel from " &amp; TEXT(Input!C13, "mmmm d, yyyy") &amp; " per Travel Order Nos. " &amp; Input!C14 &amp; ", with supporting documents hereto attached in the amount of ..."</f>
        <v>FOR PAYMENT:
For reimbursement of travel expenses incurred during official travel from Sept. 8-10, Sept. 15-17, and Sept. 22-24, 2026 per Travel Order Nos. 0926-0573, 0926-1268, and 0926-1522, with supporting documents hereto attached in the amount of ...</v>
      </c>
      <c r="C19" s="488"/>
      <c r="D19" s="488"/>
      <c r="E19" s="488"/>
      <c r="F19" s="488"/>
      <c r="G19" s="488"/>
      <c r="H19" s="488"/>
      <c r="I19" s="488"/>
      <c r="J19" s="488"/>
      <c r="K19" s="488"/>
      <c r="L19" s="488"/>
      <c r="M19" s="488"/>
      <c r="N19" s="488"/>
      <c r="O19" s="488"/>
      <c r="P19" s="488"/>
      <c r="Q19" s="488"/>
      <c r="R19" s="489"/>
      <c r="S19" s="487"/>
      <c r="T19" s="488"/>
      <c r="U19" s="488"/>
      <c r="V19" s="488"/>
      <c r="W19" s="489"/>
      <c r="X19" s="487"/>
      <c r="Y19" s="488"/>
      <c r="Z19" s="488"/>
      <c r="AA19" s="488"/>
      <c r="AB19" s="489"/>
      <c r="AC19" s="478">
        <f>Input!C18</f>
        <v>5160</v>
      </c>
      <c r="AD19" s="479"/>
      <c r="AE19" s="479"/>
      <c r="AF19" s="479"/>
      <c r="AG19" s="479"/>
      <c r="AH19" s="480"/>
      <c r="AK19" s="442"/>
      <c r="AL19" s="442"/>
      <c r="AM19" s="442"/>
    </row>
    <row r="20" spans="2:39" ht="18" customHeight="1" x14ac:dyDescent="0.4">
      <c r="B20" s="490"/>
      <c r="C20" s="491"/>
      <c r="D20" s="491"/>
      <c r="E20" s="491"/>
      <c r="F20" s="491"/>
      <c r="G20" s="491"/>
      <c r="H20" s="491"/>
      <c r="I20" s="491"/>
      <c r="J20" s="491"/>
      <c r="K20" s="491"/>
      <c r="L20" s="491"/>
      <c r="M20" s="491"/>
      <c r="N20" s="491"/>
      <c r="O20" s="491"/>
      <c r="P20" s="491"/>
      <c r="Q20" s="491"/>
      <c r="R20" s="492"/>
      <c r="S20" s="490"/>
      <c r="T20" s="491"/>
      <c r="U20" s="491"/>
      <c r="V20" s="491"/>
      <c r="W20" s="492"/>
      <c r="X20" s="490"/>
      <c r="Y20" s="491"/>
      <c r="Z20" s="491"/>
      <c r="AA20" s="491"/>
      <c r="AB20" s="492"/>
      <c r="AC20" s="481"/>
      <c r="AD20" s="482"/>
      <c r="AE20" s="482"/>
      <c r="AF20" s="482"/>
      <c r="AG20" s="482"/>
      <c r="AH20" s="483"/>
      <c r="AK20" s="442"/>
      <c r="AL20" s="442"/>
      <c r="AM20" s="442"/>
    </row>
    <row r="21" spans="2:39" ht="18" customHeight="1" x14ac:dyDescent="0.4">
      <c r="B21" s="490"/>
      <c r="C21" s="491"/>
      <c r="D21" s="491"/>
      <c r="E21" s="491"/>
      <c r="F21" s="491"/>
      <c r="G21" s="491"/>
      <c r="H21" s="491"/>
      <c r="I21" s="491"/>
      <c r="J21" s="491"/>
      <c r="K21" s="491"/>
      <c r="L21" s="491"/>
      <c r="M21" s="491"/>
      <c r="N21" s="491"/>
      <c r="O21" s="491"/>
      <c r="P21" s="491"/>
      <c r="Q21" s="491"/>
      <c r="R21" s="492"/>
      <c r="S21" s="490"/>
      <c r="T21" s="491"/>
      <c r="U21" s="491"/>
      <c r="V21" s="491"/>
      <c r="W21" s="492"/>
      <c r="X21" s="490"/>
      <c r="Y21" s="491"/>
      <c r="Z21" s="491"/>
      <c r="AA21" s="491"/>
      <c r="AB21" s="492"/>
      <c r="AC21" s="481"/>
      <c r="AD21" s="482"/>
      <c r="AE21" s="482"/>
      <c r="AF21" s="482"/>
      <c r="AG21" s="482"/>
      <c r="AH21" s="483"/>
      <c r="AK21" s="442"/>
      <c r="AL21" s="442"/>
      <c r="AM21" s="442"/>
    </row>
    <row r="22" spans="2:39" ht="18" customHeight="1" x14ac:dyDescent="0.4">
      <c r="B22" s="490"/>
      <c r="C22" s="491"/>
      <c r="D22" s="491"/>
      <c r="E22" s="491"/>
      <c r="F22" s="491"/>
      <c r="G22" s="491"/>
      <c r="H22" s="491"/>
      <c r="I22" s="491"/>
      <c r="J22" s="491"/>
      <c r="K22" s="491"/>
      <c r="L22" s="491"/>
      <c r="M22" s="491"/>
      <c r="N22" s="491"/>
      <c r="O22" s="491"/>
      <c r="P22" s="491"/>
      <c r="Q22" s="491"/>
      <c r="R22" s="492"/>
      <c r="S22" s="490"/>
      <c r="T22" s="491"/>
      <c r="U22" s="491"/>
      <c r="V22" s="491"/>
      <c r="W22" s="492"/>
      <c r="X22" s="490"/>
      <c r="Y22" s="491"/>
      <c r="Z22" s="491"/>
      <c r="AA22" s="491"/>
      <c r="AB22" s="492"/>
      <c r="AC22" s="481"/>
      <c r="AD22" s="482"/>
      <c r="AE22" s="482"/>
      <c r="AF22" s="482"/>
      <c r="AG22" s="482"/>
      <c r="AH22" s="483"/>
      <c r="AK22" s="223"/>
      <c r="AL22" s="223"/>
      <c r="AM22" s="223"/>
    </row>
    <row r="23" spans="2:39" ht="35.65" customHeight="1" thickBot="1" x14ac:dyDescent="0.45">
      <c r="B23" s="493"/>
      <c r="C23" s="494"/>
      <c r="D23" s="494"/>
      <c r="E23" s="494"/>
      <c r="F23" s="494"/>
      <c r="G23" s="494"/>
      <c r="H23" s="494"/>
      <c r="I23" s="494"/>
      <c r="J23" s="494"/>
      <c r="K23" s="494"/>
      <c r="L23" s="494"/>
      <c r="M23" s="494"/>
      <c r="N23" s="494"/>
      <c r="O23" s="494"/>
      <c r="P23" s="494"/>
      <c r="Q23" s="494"/>
      <c r="R23" s="495"/>
      <c r="S23" s="493"/>
      <c r="T23" s="494"/>
      <c r="U23" s="494"/>
      <c r="V23" s="494"/>
      <c r="W23" s="495"/>
      <c r="X23" s="493"/>
      <c r="Y23" s="494"/>
      <c r="Z23" s="494"/>
      <c r="AA23" s="494"/>
      <c r="AB23" s="495"/>
      <c r="AC23" s="484"/>
      <c r="AD23" s="485"/>
      <c r="AE23" s="485"/>
      <c r="AF23" s="485"/>
      <c r="AG23" s="485"/>
      <c r="AH23" s="486"/>
    </row>
    <row r="24" spans="2:39" ht="18" customHeight="1" thickBot="1" x14ac:dyDescent="0.45">
      <c r="B24" s="440" t="s">
        <v>29</v>
      </c>
      <c r="C24" s="440"/>
      <c r="D24" s="440"/>
      <c r="E24" s="440"/>
      <c r="F24" s="440"/>
      <c r="G24" s="440"/>
      <c r="H24" s="440"/>
      <c r="I24" s="440"/>
      <c r="J24" s="440"/>
      <c r="K24" s="440"/>
      <c r="L24" s="440"/>
      <c r="M24" s="440"/>
      <c r="N24" s="440"/>
      <c r="O24" s="440"/>
      <c r="P24" s="440"/>
      <c r="Q24" s="440"/>
      <c r="R24" s="440"/>
      <c r="S24" s="440"/>
      <c r="T24" s="440"/>
      <c r="U24" s="440"/>
      <c r="V24" s="440"/>
      <c r="W24" s="440"/>
      <c r="X24" s="440"/>
      <c r="Y24" s="440"/>
      <c r="Z24" s="440"/>
      <c r="AA24" s="440"/>
      <c r="AB24" s="440"/>
      <c r="AC24" s="441">
        <f>AC19</f>
        <v>5160</v>
      </c>
      <c r="AD24" s="441"/>
      <c r="AE24" s="441"/>
      <c r="AF24" s="441"/>
      <c r="AG24" s="441"/>
      <c r="AH24" s="441"/>
    </row>
    <row r="25" spans="2:39" ht="18" customHeight="1" thickBot="1" x14ac:dyDescent="0.45">
      <c r="B25" s="193" t="s">
        <v>30</v>
      </c>
      <c r="C25" s="439" t="s">
        <v>132</v>
      </c>
      <c r="D25" s="439"/>
      <c r="E25" s="439"/>
      <c r="F25" s="439"/>
      <c r="G25" s="439"/>
      <c r="H25" s="439"/>
      <c r="I25" s="439"/>
      <c r="J25" s="439"/>
      <c r="K25" s="439"/>
      <c r="L25" s="439"/>
      <c r="M25" s="439"/>
      <c r="N25" s="439"/>
      <c r="O25" s="439"/>
      <c r="P25" s="439"/>
      <c r="Q25" s="439"/>
      <c r="R25" s="439"/>
      <c r="S25" s="439"/>
      <c r="T25" s="439"/>
      <c r="U25" s="439"/>
      <c r="V25" s="439"/>
      <c r="W25" s="439"/>
      <c r="X25" s="439"/>
      <c r="Y25" s="439"/>
      <c r="Z25" s="439"/>
      <c r="AA25" s="439"/>
      <c r="AB25" s="439"/>
      <c r="AC25" s="439"/>
      <c r="AD25" s="439"/>
      <c r="AE25" s="439"/>
      <c r="AF25" s="439"/>
      <c r="AG25" s="439"/>
      <c r="AH25" s="439"/>
    </row>
    <row r="26" spans="2:39" x14ac:dyDescent="0.4">
      <c r="B26" s="184"/>
      <c r="C26" s="173"/>
      <c r="D26" s="173"/>
      <c r="E26" s="173"/>
      <c r="F26" s="171" t="s">
        <v>28</v>
      </c>
      <c r="G26" s="171"/>
      <c r="H26" s="171"/>
      <c r="I26" s="171"/>
      <c r="J26" s="171"/>
      <c r="K26" s="171"/>
      <c r="L26" s="171"/>
      <c r="M26" s="171"/>
      <c r="N26" s="171"/>
      <c r="O26" s="171"/>
      <c r="P26" s="171"/>
      <c r="Q26" s="171"/>
      <c r="R26" s="171"/>
      <c r="S26" s="173"/>
      <c r="T26" s="173"/>
      <c r="U26" s="172"/>
      <c r="V26" s="172"/>
      <c r="W26" s="172"/>
      <c r="X26" s="172"/>
      <c r="Y26" s="172"/>
      <c r="Z26" s="162"/>
      <c r="AA26" s="172"/>
      <c r="AB26" s="172"/>
      <c r="AC26" s="185"/>
      <c r="AD26" s="186"/>
      <c r="AE26" s="186"/>
      <c r="AF26" s="186"/>
      <c r="AG26" s="186"/>
      <c r="AH26" s="187"/>
    </row>
    <row r="27" spans="2:39" x14ac:dyDescent="0.4">
      <c r="B27" s="168"/>
      <c r="C27" s="188"/>
      <c r="D27" s="188"/>
      <c r="E27" s="188"/>
      <c r="F27" s="189"/>
      <c r="G27" s="189"/>
      <c r="H27" s="189"/>
      <c r="I27" s="189"/>
      <c r="J27" s="189"/>
      <c r="K27" s="189"/>
      <c r="L27" s="189"/>
      <c r="M27" s="189"/>
      <c r="N27" s="189"/>
      <c r="O27" s="189"/>
      <c r="P27" s="189"/>
      <c r="Q27" s="189"/>
      <c r="R27" s="189"/>
      <c r="S27" s="188"/>
      <c r="T27" s="188"/>
      <c r="U27" s="190"/>
      <c r="V27" s="190"/>
      <c r="W27" s="190"/>
      <c r="X27" s="190"/>
      <c r="Y27" s="190"/>
      <c r="Z27" s="176"/>
      <c r="AA27" s="190"/>
      <c r="AB27" s="190"/>
      <c r="AC27" s="191"/>
      <c r="AD27" s="192"/>
      <c r="AE27" s="192"/>
      <c r="AF27" s="192"/>
      <c r="AG27" s="192"/>
      <c r="AH27" s="169"/>
    </row>
    <row r="28" spans="2:39" ht="15.75" customHeight="1" x14ac:dyDescent="0.4">
      <c r="B28" s="447" t="str">
        <f>UPPER(Input!C16)</f>
        <v>MELODY M. GUIMARY</v>
      </c>
      <c r="C28" s="448"/>
      <c r="D28" s="448"/>
      <c r="E28" s="448"/>
      <c r="F28" s="448"/>
      <c r="G28" s="448"/>
      <c r="H28" s="448"/>
      <c r="I28" s="448"/>
      <c r="J28" s="448"/>
      <c r="K28" s="448"/>
      <c r="L28" s="448"/>
      <c r="M28" s="448"/>
      <c r="N28" s="448"/>
      <c r="O28" s="448"/>
      <c r="P28" s="448"/>
      <c r="Q28" s="448"/>
      <c r="R28" s="448"/>
      <c r="S28" s="448"/>
      <c r="T28" s="448"/>
      <c r="U28" s="448"/>
      <c r="V28" s="448"/>
      <c r="W28" s="448"/>
      <c r="X28" s="448"/>
      <c r="Y28" s="448"/>
      <c r="Z28" s="448"/>
      <c r="AA28" s="448"/>
      <c r="AB28" s="448"/>
      <c r="AC28" s="448"/>
      <c r="AD28" s="448"/>
      <c r="AE28" s="448"/>
      <c r="AF28" s="448"/>
      <c r="AG28" s="448"/>
      <c r="AH28" s="449"/>
    </row>
    <row r="29" spans="2:39" ht="13.9" customHeight="1" x14ac:dyDescent="0.4">
      <c r="B29" s="416" t="s">
        <v>137</v>
      </c>
      <c r="C29" s="417"/>
      <c r="D29" s="417"/>
      <c r="E29" s="417"/>
      <c r="F29" s="417"/>
      <c r="G29" s="417"/>
      <c r="H29" s="417"/>
      <c r="I29" s="417"/>
      <c r="J29" s="417"/>
      <c r="K29" s="417"/>
      <c r="L29" s="417"/>
      <c r="M29" s="417"/>
      <c r="N29" s="417"/>
      <c r="O29" s="417"/>
      <c r="P29" s="417"/>
      <c r="Q29" s="417"/>
      <c r="R29" s="417"/>
      <c r="S29" s="417"/>
      <c r="T29" s="417"/>
      <c r="U29" s="417"/>
      <c r="V29" s="417"/>
      <c r="W29" s="417"/>
      <c r="X29" s="417"/>
      <c r="Y29" s="417"/>
      <c r="Z29" s="417"/>
      <c r="AA29" s="417"/>
      <c r="AB29" s="417"/>
      <c r="AC29" s="417"/>
      <c r="AD29" s="417"/>
      <c r="AE29" s="417"/>
      <c r="AF29" s="417"/>
      <c r="AG29" s="417"/>
      <c r="AH29" s="418"/>
    </row>
    <row r="30" spans="2:39" ht="15.4" thickBot="1" x14ac:dyDescent="0.45">
      <c r="B30" s="182"/>
      <c r="C30" s="163"/>
      <c r="D30" s="163"/>
      <c r="E30" s="163"/>
      <c r="F30" s="163"/>
      <c r="G30" s="163"/>
      <c r="H30" s="163"/>
      <c r="I30" s="163"/>
      <c r="J30" s="163"/>
      <c r="K30" s="163"/>
      <c r="L30" s="163"/>
      <c r="M30" s="443"/>
      <c r="N30" s="443"/>
      <c r="O30" s="443"/>
      <c r="P30" s="443"/>
      <c r="Q30" s="443"/>
      <c r="R30" s="443"/>
      <c r="S30" s="443"/>
      <c r="T30" s="443"/>
      <c r="U30" s="443"/>
      <c r="V30" s="443"/>
      <c r="W30" s="443"/>
      <c r="X30" s="443"/>
      <c r="Y30" s="443"/>
      <c r="Z30" s="163"/>
      <c r="AA30" s="163"/>
      <c r="AB30" s="163"/>
      <c r="AC30" s="163"/>
      <c r="AD30" s="163"/>
      <c r="AE30" s="163"/>
      <c r="AF30" s="163"/>
      <c r="AG30" s="163"/>
      <c r="AH30" s="183"/>
    </row>
    <row r="31" spans="2:39" ht="18" customHeight="1" thickBot="1" x14ac:dyDescent="0.45">
      <c r="B31" s="174" t="s">
        <v>31</v>
      </c>
      <c r="C31" s="407" t="s">
        <v>32</v>
      </c>
      <c r="D31" s="407"/>
      <c r="E31" s="407"/>
      <c r="F31" s="407"/>
      <c r="G31" s="407"/>
      <c r="H31" s="407"/>
      <c r="I31" s="407"/>
      <c r="J31" s="407"/>
      <c r="K31" s="407"/>
      <c r="L31" s="407"/>
      <c r="M31" s="407"/>
      <c r="N31" s="407"/>
      <c r="O31" s="407"/>
      <c r="P31" s="407"/>
      <c r="Q31" s="407"/>
      <c r="R31" s="407"/>
      <c r="S31" s="407"/>
      <c r="T31" s="407"/>
      <c r="U31" s="407"/>
      <c r="V31" s="407"/>
      <c r="W31" s="407"/>
      <c r="X31" s="407"/>
      <c r="Y31" s="407"/>
      <c r="Z31" s="407"/>
      <c r="AA31" s="407"/>
      <c r="AB31" s="407"/>
      <c r="AC31" s="407"/>
      <c r="AD31" s="407"/>
      <c r="AE31" s="407"/>
      <c r="AF31" s="407"/>
      <c r="AG31" s="407"/>
      <c r="AH31" s="407"/>
    </row>
    <row r="32" spans="2:39" ht="18" customHeight="1" thickBot="1" x14ac:dyDescent="0.45">
      <c r="B32" s="444" t="s">
        <v>33</v>
      </c>
      <c r="C32" s="444"/>
      <c r="D32" s="444"/>
      <c r="E32" s="444"/>
      <c r="F32" s="444"/>
      <c r="G32" s="444"/>
      <c r="H32" s="444"/>
      <c r="I32" s="444"/>
      <c r="J32" s="444"/>
      <c r="K32" s="444"/>
      <c r="L32" s="444"/>
      <c r="M32" s="444"/>
      <c r="N32" s="444"/>
      <c r="O32" s="444"/>
      <c r="P32" s="444"/>
      <c r="Q32" s="444"/>
      <c r="R32" s="444"/>
      <c r="S32" s="444" t="s">
        <v>34</v>
      </c>
      <c r="T32" s="444"/>
      <c r="U32" s="444"/>
      <c r="V32" s="444"/>
      <c r="W32" s="444"/>
      <c r="X32" s="444"/>
      <c r="Y32" s="444"/>
      <c r="Z32" s="444"/>
      <c r="AA32" s="445" t="s">
        <v>35</v>
      </c>
      <c r="AB32" s="445"/>
      <c r="AC32" s="445"/>
      <c r="AD32" s="445"/>
      <c r="AE32" s="445"/>
      <c r="AF32" s="445"/>
      <c r="AG32" s="446" t="s">
        <v>36</v>
      </c>
      <c r="AH32" s="446"/>
    </row>
    <row r="33" spans="2:34" ht="18" customHeight="1" thickBot="1" x14ac:dyDescent="0.45">
      <c r="B33" s="408"/>
      <c r="C33" s="408"/>
      <c r="D33" s="408"/>
      <c r="E33" s="408"/>
      <c r="F33" s="408"/>
      <c r="G33" s="408"/>
      <c r="H33" s="408"/>
      <c r="I33" s="408"/>
      <c r="J33" s="408"/>
      <c r="K33" s="408"/>
      <c r="L33" s="408"/>
      <c r="M33" s="408"/>
      <c r="N33" s="408"/>
      <c r="O33" s="408"/>
      <c r="P33" s="408"/>
      <c r="Q33" s="408"/>
      <c r="R33" s="408"/>
      <c r="S33" s="409"/>
      <c r="T33" s="409"/>
      <c r="U33" s="409"/>
      <c r="V33" s="409"/>
      <c r="W33" s="409"/>
      <c r="X33" s="409"/>
      <c r="Y33" s="409"/>
      <c r="Z33" s="409"/>
      <c r="AA33" s="409"/>
      <c r="AB33" s="409"/>
      <c r="AC33" s="409"/>
      <c r="AD33" s="409"/>
      <c r="AE33" s="409"/>
      <c r="AF33" s="409"/>
      <c r="AG33" s="409"/>
      <c r="AH33" s="409"/>
    </row>
    <row r="34" spans="2:34" ht="18" customHeight="1" thickBot="1" x14ac:dyDescent="0.45">
      <c r="B34" s="174" t="s">
        <v>37</v>
      </c>
      <c r="C34" s="407" t="s">
        <v>38</v>
      </c>
      <c r="D34" s="407"/>
      <c r="E34" s="407"/>
      <c r="F34" s="407"/>
      <c r="G34" s="407"/>
      <c r="H34" s="407"/>
      <c r="I34" s="407"/>
      <c r="J34" s="407"/>
      <c r="K34" s="407"/>
      <c r="L34" s="407"/>
      <c r="M34" s="407"/>
      <c r="N34" s="407"/>
      <c r="O34" s="407"/>
      <c r="P34" s="407"/>
      <c r="Q34" s="407"/>
      <c r="R34" s="407"/>
      <c r="S34" s="407"/>
      <c r="T34" s="177" t="s">
        <v>39</v>
      </c>
      <c r="U34" s="404" t="s">
        <v>40</v>
      </c>
      <c r="V34" s="405"/>
      <c r="W34" s="405"/>
      <c r="X34" s="405"/>
      <c r="Y34" s="405"/>
      <c r="Z34" s="405"/>
      <c r="AA34" s="405"/>
      <c r="AB34" s="405"/>
      <c r="AC34" s="405"/>
      <c r="AD34" s="405"/>
      <c r="AE34" s="405"/>
      <c r="AF34" s="405"/>
      <c r="AG34" s="405"/>
      <c r="AH34" s="406"/>
    </row>
    <row r="35" spans="2:34" ht="18" customHeight="1" thickBot="1" x14ac:dyDescent="0.45">
      <c r="B35" s="178"/>
      <c r="C35" s="170"/>
      <c r="D35" s="170"/>
      <c r="E35" s="170"/>
      <c r="F35" s="179"/>
      <c r="G35" s="179"/>
      <c r="H35" s="179"/>
      <c r="I35" s="179"/>
      <c r="J35" s="179"/>
      <c r="K35" s="179"/>
      <c r="L35" s="179"/>
      <c r="M35" s="179"/>
      <c r="N35" s="179"/>
      <c r="O35" s="179"/>
      <c r="P35" s="179"/>
      <c r="Q35" s="179"/>
      <c r="R35" s="179"/>
      <c r="S35" s="180"/>
      <c r="T35" s="453"/>
      <c r="U35" s="453"/>
      <c r="V35" s="453"/>
      <c r="W35" s="453"/>
      <c r="X35" s="453"/>
      <c r="Y35" s="453"/>
      <c r="Z35" s="453"/>
      <c r="AA35" s="453"/>
      <c r="AB35" s="453"/>
      <c r="AC35" s="453"/>
      <c r="AD35" s="453"/>
      <c r="AE35" s="453"/>
      <c r="AF35" s="453"/>
      <c r="AG35" s="453"/>
      <c r="AH35" s="453"/>
    </row>
    <row r="36" spans="2:34" ht="18" customHeight="1" thickBot="1" x14ac:dyDescent="0.45">
      <c r="B36" s="166"/>
      <c r="C36" s="175"/>
      <c r="D36" s="176" t="s">
        <v>41</v>
      </c>
      <c r="E36" s="176"/>
      <c r="F36" s="176"/>
      <c r="G36" s="176"/>
      <c r="H36" s="176"/>
      <c r="I36" s="176"/>
      <c r="J36" s="176"/>
      <c r="K36" s="176"/>
      <c r="L36" s="176"/>
      <c r="M36" s="176"/>
      <c r="N36" s="176"/>
      <c r="O36" s="176"/>
      <c r="P36" s="176"/>
      <c r="Q36" s="176"/>
      <c r="R36" s="176"/>
      <c r="S36" s="167"/>
      <c r="T36" s="453"/>
      <c r="U36" s="453"/>
      <c r="V36" s="453"/>
      <c r="W36" s="453"/>
      <c r="X36" s="453"/>
      <c r="Y36" s="453"/>
      <c r="Z36" s="453"/>
      <c r="AA36" s="453"/>
      <c r="AB36" s="453"/>
      <c r="AC36" s="453"/>
      <c r="AD36" s="453"/>
      <c r="AE36" s="453"/>
      <c r="AF36" s="453"/>
      <c r="AG36" s="453"/>
      <c r="AH36" s="453"/>
    </row>
    <row r="37" spans="2:34" ht="18" customHeight="1" thickBot="1" x14ac:dyDescent="0.45">
      <c r="B37" s="451"/>
      <c r="C37" s="452"/>
      <c r="D37" s="452"/>
      <c r="E37" s="452"/>
      <c r="F37" s="452"/>
      <c r="G37" s="452"/>
      <c r="H37" s="452"/>
      <c r="I37" s="176"/>
      <c r="J37" s="176"/>
      <c r="K37" s="176"/>
      <c r="L37" s="176"/>
      <c r="M37" s="176"/>
      <c r="N37" s="176"/>
      <c r="O37" s="176"/>
      <c r="P37" s="176"/>
      <c r="Q37" s="176"/>
      <c r="R37" s="176"/>
      <c r="S37" s="167"/>
      <c r="T37" s="453"/>
      <c r="U37" s="453"/>
      <c r="V37" s="453"/>
      <c r="W37" s="453"/>
      <c r="X37" s="453"/>
      <c r="Y37" s="453"/>
      <c r="Z37" s="453"/>
      <c r="AA37" s="453"/>
      <c r="AB37" s="453"/>
      <c r="AC37" s="453"/>
      <c r="AD37" s="453"/>
      <c r="AE37" s="453"/>
      <c r="AF37" s="453"/>
      <c r="AG37" s="453"/>
      <c r="AH37" s="453"/>
    </row>
    <row r="38" spans="2:34" ht="18" customHeight="1" thickBot="1" x14ac:dyDescent="0.45">
      <c r="B38" s="166"/>
      <c r="C38" s="175"/>
      <c r="D38" s="176" t="s">
        <v>42</v>
      </c>
      <c r="E38" s="176"/>
      <c r="F38" s="176"/>
      <c r="G38" s="176"/>
      <c r="H38" s="176"/>
      <c r="I38" s="176"/>
      <c r="J38" s="176"/>
      <c r="K38" s="176"/>
      <c r="L38" s="176"/>
      <c r="M38" s="176"/>
      <c r="N38" s="176"/>
      <c r="O38" s="176"/>
      <c r="P38" s="176"/>
      <c r="Q38" s="176"/>
      <c r="R38" s="176"/>
      <c r="S38" s="167"/>
      <c r="T38" s="453"/>
      <c r="U38" s="453"/>
      <c r="V38" s="453"/>
      <c r="W38" s="453"/>
      <c r="X38" s="453"/>
      <c r="Y38" s="453"/>
      <c r="Z38" s="453"/>
      <c r="AA38" s="453"/>
      <c r="AB38" s="453"/>
      <c r="AC38" s="453"/>
      <c r="AD38" s="453"/>
      <c r="AE38" s="453"/>
      <c r="AF38" s="453"/>
      <c r="AG38" s="453"/>
      <c r="AH38" s="453"/>
    </row>
    <row r="39" spans="2:34" ht="18" customHeight="1" thickBot="1" x14ac:dyDescent="0.45">
      <c r="B39" s="451"/>
      <c r="C39" s="452"/>
      <c r="D39" s="452"/>
      <c r="E39" s="452"/>
      <c r="F39" s="452"/>
      <c r="G39" s="452"/>
      <c r="H39" s="452"/>
      <c r="I39" s="452"/>
      <c r="J39" s="452"/>
      <c r="K39" s="452"/>
      <c r="L39" s="452"/>
      <c r="M39" s="452"/>
      <c r="N39" s="452"/>
      <c r="O39" s="452"/>
      <c r="P39" s="452"/>
      <c r="Q39" s="452"/>
      <c r="R39" s="452"/>
      <c r="S39" s="454"/>
      <c r="T39" s="453"/>
      <c r="U39" s="453"/>
      <c r="V39" s="453"/>
      <c r="W39" s="453"/>
      <c r="X39" s="453"/>
      <c r="Y39" s="453"/>
      <c r="Z39" s="453"/>
      <c r="AA39" s="453"/>
      <c r="AB39" s="453"/>
      <c r="AC39" s="453"/>
      <c r="AD39" s="453"/>
      <c r="AE39" s="453"/>
      <c r="AF39" s="453"/>
      <c r="AG39" s="453"/>
      <c r="AH39" s="453"/>
    </row>
    <row r="40" spans="2:34" ht="18" customHeight="1" thickBot="1" x14ac:dyDescent="0.45">
      <c r="B40" s="166"/>
      <c r="C40" s="175"/>
      <c r="D40" s="176" t="s">
        <v>43</v>
      </c>
      <c r="E40" s="176" t="s">
        <v>43</v>
      </c>
      <c r="F40" s="176"/>
      <c r="G40" s="176"/>
      <c r="H40" s="176"/>
      <c r="I40" s="176"/>
      <c r="J40" s="176"/>
      <c r="K40" s="176"/>
      <c r="L40" s="176"/>
      <c r="M40" s="176"/>
      <c r="N40" s="176"/>
      <c r="O40" s="176"/>
      <c r="P40" s="176"/>
      <c r="Q40" s="176"/>
      <c r="R40" s="176"/>
      <c r="S40" s="167"/>
      <c r="T40" s="455" t="s">
        <v>44</v>
      </c>
      <c r="U40" s="455"/>
      <c r="V40" s="455"/>
      <c r="W40" s="455"/>
      <c r="X40" s="455"/>
      <c r="Y40" s="455"/>
      <c r="Z40" s="455"/>
      <c r="AA40" s="455"/>
      <c r="AB40" s="455"/>
      <c r="AC40" s="455"/>
      <c r="AD40" s="455"/>
      <c r="AE40" s="455"/>
      <c r="AF40" s="455"/>
      <c r="AG40" s="455"/>
      <c r="AH40" s="455"/>
    </row>
    <row r="41" spans="2:34" ht="18" customHeight="1" thickBot="1" x14ac:dyDescent="0.45">
      <c r="B41" s="166"/>
      <c r="C41" s="176"/>
      <c r="D41" s="181" t="s">
        <v>45</v>
      </c>
      <c r="E41" s="176"/>
      <c r="F41" s="176"/>
      <c r="G41" s="176"/>
      <c r="H41" s="176"/>
      <c r="I41" s="176"/>
      <c r="J41" s="176"/>
      <c r="K41" s="176"/>
      <c r="L41" s="176"/>
      <c r="M41" s="176"/>
      <c r="N41" s="176"/>
      <c r="O41" s="176"/>
      <c r="P41" s="176"/>
      <c r="Q41" s="176"/>
      <c r="R41" s="176"/>
      <c r="S41" s="167"/>
      <c r="T41" s="453" t="s">
        <v>46</v>
      </c>
      <c r="U41" s="453"/>
      <c r="V41" s="453"/>
      <c r="W41" s="453"/>
      <c r="X41" s="453"/>
      <c r="Y41" s="453"/>
      <c r="Z41" s="453"/>
      <c r="AA41" s="453"/>
      <c r="AB41" s="453"/>
      <c r="AC41" s="453"/>
      <c r="AD41" s="453"/>
      <c r="AE41" s="453"/>
      <c r="AF41" s="453"/>
      <c r="AG41" s="453"/>
      <c r="AH41" s="453"/>
    </row>
    <row r="42" spans="2:34" ht="18" customHeight="1" thickBot="1" x14ac:dyDescent="0.45">
      <c r="B42" s="182"/>
      <c r="C42" s="163"/>
      <c r="D42" s="163"/>
      <c r="E42" s="163"/>
      <c r="F42" s="163"/>
      <c r="G42" s="163"/>
      <c r="H42" s="163"/>
      <c r="I42" s="163"/>
      <c r="J42" s="163"/>
      <c r="K42" s="163"/>
      <c r="L42" s="163"/>
      <c r="M42" s="163"/>
      <c r="N42" s="163"/>
      <c r="O42" s="163"/>
      <c r="P42" s="163"/>
      <c r="Q42" s="163"/>
      <c r="R42" s="163"/>
      <c r="S42" s="183"/>
      <c r="T42" s="453"/>
      <c r="U42" s="453"/>
      <c r="V42" s="453"/>
      <c r="W42" s="453"/>
      <c r="X42" s="453"/>
      <c r="Y42" s="453"/>
      <c r="Z42" s="453"/>
      <c r="AA42" s="453"/>
      <c r="AB42" s="453"/>
      <c r="AC42" s="453"/>
      <c r="AD42" s="453"/>
      <c r="AE42" s="453"/>
      <c r="AF42" s="453"/>
      <c r="AG42" s="453"/>
      <c r="AH42" s="453"/>
    </row>
    <row r="43" spans="2:34" ht="18" customHeight="1" thickBot="1" x14ac:dyDescent="0.45">
      <c r="B43" s="444" t="s">
        <v>47</v>
      </c>
      <c r="C43" s="450"/>
      <c r="D43" s="450"/>
      <c r="E43" s="450"/>
      <c r="F43" s="456"/>
      <c r="G43" s="456"/>
      <c r="H43" s="456"/>
      <c r="I43" s="456"/>
      <c r="J43" s="456"/>
      <c r="K43" s="456"/>
      <c r="L43" s="456"/>
      <c r="M43" s="456"/>
      <c r="N43" s="456"/>
      <c r="O43" s="456"/>
      <c r="P43" s="456"/>
      <c r="Q43" s="456"/>
      <c r="R43" s="456"/>
      <c r="S43" s="456"/>
      <c r="T43" s="444" t="s">
        <v>47</v>
      </c>
      <c r="U43" s="444"/>
      <c r="V43" s="444"/>
      <c r="W43" s="444"/>
      <c r="X43" s="408"/>
      <c r="Y43" s="408"/>
      <c r="Z43" s="408"/>
      <c r="AA43" s="408"/>
      <c r="AB43" s="408"/>
      <c r="AC43" s="408"/>
      <c r="AD43" s="408"/>
      <c r="AE43" s="408"/>
      <c r="AF43" s="408"/>
      <c r="AG43" s="408"/>
      <c r="AH43" s="408"/>
    </row>
    <row r="44" spans="2:34" ht="18" customHeight="1" thickBot="1" x14ac:dyDescent="0.45">
      <c r="B44" s="450"/>
      <c r="C44" s="450"/>
      <c r="D44" s="450"/>
      <c r="E44" s="450"/>
      <c r="F44" s="456"/>
      <c r="G44" s="456"/>
      <c r="H44" s="456"/>
      <c r="I44" s="456"/>
      <c r="J44" s="456"/>
      <c r="K44" s="456"/>
      <c r="L44" s="456"/>
      <c r="M44" s="456"/>
      <c r="N44" s="456"/>
      <c r="O44" s="456"/>
      <c r="P44" s="456"/>
      <c r="Q44" s="456"/>
      <c r="R44" s="456"/>
      <c r="S44" s="456"/>
      <c r="T44" s="444"/>
      <c r="U44" s="444"/>
      <c r="V44" s="444"/>
      <c r="W44" s="444"/>
      <c r="X44" s="408"/>
      <c r="Y44" s="408"/>
      <c r="Z44" s="408"/>
      <c r="AA44" s="408"/>
      <c r="AB44" s="408"/>
      <c r="AC44" s="408"/>
      <c r="AD44" s="408"/>
      <c r="AE44" s="408"/>
      <c r="AF44" s="408"/>
      <c r="AG44" s="408"/>
      <c r="AH44" s="408"/>
    </row>
    <row r="45" spans="2:34" ht="18" customHeight="1" thickBot="1" x14ac:dyDescent="0.45">
      <c r="B45" s="444" t="s">
        <v>48</v>
      </c>
      <c r="C45" s="450"/>
      <c r="D45" s="450"/>
      <c r="E45" s="450"/>
      <c r="F45" s="444" t="str">
        <f>UPPER(Input!C22)</f>
        <v>JANE V. MAMBA</v>
      </c>
      <c r="G45" s="444"/>
      <c r="H45" s="444"/>
      <c r="I45" s="444"/>
      <c r="J45" s="444"/>
      <c r="K45" s="444"/>
      <c r="L45" s="444"/>
      <c r="M45" s="444"/>
      <c r="N45" s="444"/>
      <c r="O45" s="444"/>
      <c r="P45" s="444"/>
      <c r="Q45" s="444"/>
      <c r="R45" s="444"/>
      <c r="S45" s="444"/>
      <c r="T45" s="444" t="s">
        <v>48</v>
      </c>
      <c r="U45" s="444"/>
      <c r="V45" s="444"/>
      <c r="W45" s="444"/>
      <c r="X45" s="444" t="str">
        <f>UPPER(Input!C23)</f>
        <v>PRIMITIVA O. ARQUION</v>
      </c>
      <c r="Y45" s="408"/>
      <c r="Z45" s="408"/>
      <c r="AA45" s="408"/>
      <c r="AB45" s="408"/>
      <c r="AC45" s="408"/>
      <c r="AD45" s="408"/>
      <c r="AE45" s="408"/>
      <c r="AF45" s="408"/>
      <c r="AG45" s="408"/>
      <c r="AH45" s="408"/>
    </row>
    <row r="46" spans="2:34" ht="18" customHeight="1" thickBot="1" x14ac:dyDescent="0.45">
      <c r="B46" s="450"/>
      <c r="C46" s="450"/>
      <c r="D46" s="450"/>
      <c r="E46" s="450"/>
      <c r="F46" s="444"/>
      <c r="G46" s="444"/>
      <c r="H46" s="444"/>
      <c r="I46" s="444"/>
      <c r="J46" s="444"/>
      <c r="K46" s="444"/>
      <c r="L46" s="444"/>
      <c r="M46" s="444"/>
      <c r="N46" s="444"/>
      <c r="O46" s="444"/>
      <c r="P46" s="444"/>
      <c r="Q46" s="444"/>
      <c r="R46" s="444"/>
      <c r="S46" s="444"/>
      <c r="T46" s="444"/>
      <c r="U46" s="444"/>
      <c r="V46" s="444"/>
      <c r="W46" s="444"/>
      <c r="X46" s="408"/>
      <c r="Y46" s="408"/>
      <c r="Z46" s="408"/>
      <c r="AA46" s="408"/>
      <c r="AB46" s="408"/>
      <c r="AC46" s="408"/>
      <c r="AD46" s="408"/>
      <c r="AE46" s="408"/>
      <c r="AF46" s="408"/>
      <c r="AG46" s="408"/>
      <c r="AH46" s="408"/>
    </row>
    <row r="47" spans="2:34" ht="18" customHeight="1" thickBot="1" x14ac:dyDescent="0.45">
      <c r="B47" s="444" t="s">
        <v>49</v>
      </c>
      <c r="C47" s="444"/>
      <c r="D47" s="444"/>
      <c r="E47" s="444"/>
      <c r="F47" s="408" t="s">
        <v>50</v>
      </c>
      <c r="G47" s="444"/>
      <c r="H47" s="444"/>
      <c r="I47" s="444"/>
      <c r="J47" s="444"/>
      <c r="K47" s="444"/>
      <c r="L47" s="444"/>
      <c r="M47" s="444"/>
      <c r="N47" s="444"/>
      <c r="O47" s="444"/>
      <c r="P47" s="444"/>
      <c r="Q47" s="444"/>
      <c r="R47" s="444"/>
      <c r="S47" s="444"/>
      <c r="T47" s="444" t="s">
        <v>49</v>
      </c>
      <c r="U47" s="444"/>
      <c r="V47" s="444"/>
      <c r="W47" s="444"/>
      <c r="X47" s="408" t="s">
        <v>138</v>
      </c>
      <c r="Y47" s="408"/>
      <c r="Z47" s="408"/>
      <c r="AA47" s="408"/>
      <c r="AB47" s="408"/>
      <c r="AC47" s="408"/>
      <c r="AD47" s="408"/>
      <c r="AE47" s="408"/>
      <c r="AF47" s="408"/>
      <c r="AG47" s="408"/>
      <c r="AH47" s="408"/>
    </row>
    <row r="48" spans="2:34" ht="18" customHeight="1" thickBot="1" x14ac:dyDescent="0.45">
      <c r="B48" s="444"/>
      <c r="C48" s="444"/>
      <c r="D48" s="444"/>
      <c r="E48" s="444"/>
      <c r="F48" s="460" t="s">
        <v>182</v>
      </c>
      <c r="G48" s="460"/>
      <c r="H48" s="460"/>
      <c r="I48" s="460"/>
      <c r="J48" s="460"/>
      <c r="K48" s="460"/>
      <c r="L48" s="460"/>
      <c r="M48" s="460"/>
      <c r="N48" s="460"/>
      <c r="O48" s="461"/>
      <c r="P48" s="461"/>
      <c r="Q48" s="461"/>
      <c r="R48" s="461"/>
      <c r="S48" s="461"/>
      <c r="T48" s="444"/>
      <c r="U48" s="444"/>
      <c r="V48" s="444"/>
      <c r="W48" s="444"/>
      <c r="X48" s="462" t="s">
        <v>51</v>
      </c>
      <c r="Y48" s="462"/>
      <c r="Z48" s="462"/>
      <c r="AA48" s="462"/>
      <c r="AB48" s="462"/>
      <c r="AC48" s="462"/>
      <c r="AD48" s="462"/>
      <c r="AE48" s="462"/>
      <c r="AF48" s="462"/>
      <c r="AG48" s="462"/>
      <c r="AH48" s="462"/>
    </row>
    <row r="49" spans="2:36" ht="18" customHeight="1" thickBot="1" x14ac:dyDescent="0.45">
      <c r="B49" s="444" t="s">
        <v>8</v>
      </c>
      <c r="C49" s="444"/>
      <c r="D49" s="444"/>
      <c r="E49" s="444"/>
      <c r="F49" s="456"/>
      <c r="G49" s="456"/>
      <c r="H49" s="456"/>
      <c r="I49" s="456"/>
      <c r="J49" s="456"/>
      <c r="K49" s="456"/>
      <c r="L49" s="456"/>
      <c r="M49" s="456"/>
      <c r="N49" s="456"/>
      <c r="O49" s="456"/>
      <c r="P49" s="456"/>
      <c r="Q49" s="456"/>
      <c r="R49" s="456"/>
      <c r="S49" s="456"/>
      <c r="T49" s="444" t="s">
        <v>8</v>
      </c>
      <c r="U49" s="444"/>
      <c r="V49" s="444"/>
      <c r="W49" s="444"/>
      <c r="X49" s="408"/>
      <c r="Y49" s="408"/>
      <c r="Z49" s="408"/>
      <c r="AA49" s="408"/>
      <c r="AB49" s="408"/>
      <c r="AC49" s="408"/>
      <c r="AD49" s="408"/>
      <c r="AE49" s="408"/>
      <c r="AF49" s="408"/>
      <c r="AG49" s="408"/>
      <c r="AH49" s="408"/>
    </row>
    <row r="50" spans="2:36" ht="18" customHeight="1" thickBot="1" x14ac:dyDescent="0.45">
      <c r="B50" s="450"/>
      <c r="C50" s="450"/>
      <c r="D50" s="450"/>
      <c r="E50" s="450"/>
      <c r="F50" s="456"/>
      <c r="G50" s="456"/>
      <c r="H50" s="456"/>
      <c r="I50" s="456"/>
      <c r="J50" s="456"/>
      <c r="K50" s="456"/>
      <c r="L50" s="456"/>
      <c r="M50" s="456"/>
      <c r="N50" s="456"/>
      <c r="O50" s="456"/>
      <c r="P50" s="456"/>
      <c r="Q50" s="456"/>
      <c r="R50" s="456"/>
      <c r="S50" s="456"/>
      <c r="T50" s="444"/>
      <c r="U50" s="444"/>
      <c r="V50" s="444"/>
      <c r="W50" s="444"/>
      <c r="X50" s="408"/>
      <c r="Y50" s="408"/>
      <c r="Z50" s="408"/>
      <c r="AA50" s="408"/>
      <c r="AB50" s="408"/>
      <c r="AC50" s="408"/>
      <c r="AD50" s="408"/>
      <c r="AE50" s="408"/>
      <c r="AF50" s="408"/>
      <c r="AG50" s="408"/>
      <c r="AH50" s="408"/>
    </row>
    <row r="51" spans="2:36" ht="18" customHeight="1" thickBot="1" x14ac:dyDescent="0.45">
      <c r="B51" s="174" t="s">
        <v>52</v>
      </c>
      <c r="C51" s="407" t="s">
        <v>53</v>
      </c>
      <c r="D51" s="407"/>
      <c r="E51" s="407"/>
      <c r="F51" s="407"/>
      <c r="G51" s="407"/>
      <c r="H51" s="407"/>
      <c r="I51" s="407"/>
      <c r="J51" s="407"/>
      <c r="K51" s="407"/>
      <c r="L51" s="407"/>
      <c r="M51" s="407"/>
      <c r="N51" s="407"/>
      <c r="O51" s="407"/>
      <c r="P51" s="407"/>
      <c r="Q51" s="407"/>
      <c r="R51" s="407"/>
      <c r="S51" s="407"/>
      <c r="T51" s="407"/>
      <c r="U51" s="407"/>
      <c r="V51" s="407"/>
      <c r="W51" s="407"/>
      <c r="X51" s="407"/>
      <c r="Y51" s="407"/>
      <c r="Z51" s="407"/>
      <c r="AA51" s="407"/>
      <c r="AB51" s="407"/>
      <c r="AC51" s="459" t="s">
        <v>54</v>
      </c>
      <c r="AD51" s="459"/>
      <c r="AE51" s="459"/>
      <c r="AF51" s="459"/>
      <c r="AG51" s="459"/>
      <c r="AH51" s="459"/>
    </row>
    <row r="52" spans="2:36" ht="18" customHeight="1" thickBot="1" x14ac:dyDescent="0.45">
      <c r="B52" s="466" t="s">
        <v>55</v>
      </c>
      <c r="C52" s="467"/>
      <c r="D52" s="468"/>
      <c r="E52" s="198"/>
      <c r="F52" s="465"/>
      <c r="G52" s="465"/>
      <c r="H52" s="465"/>
      <c r="I52" s="465"/>
      <c r="J52" s="465"/>
      <c r="K52" s="465"/>
      <c r="L52" s="465"/>
      <c r="M52" s="465"/>
      <c r="N52" s="465"/>
      <c r="O52" s="457" t="s">
        <v>12</v>
      </c>
      <c r="P52" s="457"/>
      <c r="Q52" s="457"/>
      <c r="R52" s="457"/>
      <c r="S52" s="457"/>
      <c r="T52" s="458" t="s">
        <v>56</v>
      </c>
      <c r="U52" s="457"/>
      <c r="V52" s="457"/>
      <c r="W52" s="457"/>
      <c r="X52" s="457"/>
      <c r="Y52" s="457"/>
      <c r="Z52" s="457"/>
      <c r="AA52" s="457"/>
      <c r="AB52" s="457"/>
      <c r="AC52" s="459"/>
      <c r="AD52" s="459"/>
      <c r="AE52" s="459"/>
      <c r="AF52" s="459"/>
      <c r="AG52" s="459"/>
      <c r="AH52" s="459"/>
    </row>
    <row r="53" spans="2:36" ht="18" customHeight="1" thickBot="1" x14ac:dyDescent="0.45">
      <c r="B53" s="469"/>
      <c r="C53" s="470"/>
      <c r="D53" s="471"/>
      <c r="E53" s="198"/>
      <c r="F53" s="465"/>
      <c r="G53" s="465"/>
      <c r="H53" s="465"/>
      <c r="I53" s="465"/>
      <c r="J53" s="465"/>
      <c r="K53" s="465"/>
      <c r="L53" s="465"/>
      <c r="M53" s="465"/>
      <c r="N53" s="465"/>
      <c r="O53" s="457"/>
      <c r="P53" s="457"/>
      <c r="Q53" s="457"/>
      <c r="R53" s="457"/>
      <c r="S53" s="457"/>
      <c r="T53" s="457"/>
      <c r="U53" s="457"/>
      <c r="V53" s="457"/>
      <c r="W53" s="457"/>
      <c r="X53" s="457"/>
      <c r="Y53" s="457"/>
      <c r="Z53" s="457"/>
      <c r="AA53" s="457"/>
      <c r="AB53" s="457"/>
      <c r="AC53" s="459"/>
      <c r="AD53" s="459"/>
      <c r="AE53" s="459"/>
      <c r="AF53" s="459"/>
      <c r="AG53" s="459"/>
      <c r="AH53" s="459"/>
    </row>
    <row r="54" spans="2:36" ht="18" customHeight="1" thickBot="1" x14ac:dyDescent="0.45">
      <c r="B54" s="444" t="s">
        <v>4</v>
      </c>
      <c r="C54" s="465"/>
      <c r="D54" s="465"/>
      <c r="E54" s="465"/>
      <c r="F54" s="465"/>
      <c r="G54" s="465"/>
      <c r="H54" s="465"/>
      <c r="I54" s="465"/>
      <c r="J54" s="465"/>
      <c r="K54" s="465"/>
      <c r="L54" s="465"/>
      <c r="M54" s="465"/>
      <c r="N54" s="465"/>
      <c r="O54" s="457" t="s">
        <v>12</v>
      </c>
      <c r="P54" s="457"/>
      <c r="Q54" s="457"/>
      <c r="R54" s="457"/>
      <c r="S54" s="457"/>
      <c r="T54" s="457" t="s">
        <v>57</v>
      </c>
      <c r="U54" s="457"/>
      <c r="V54" s="457"/>
      <c r="W54" s="457"/>
      <c r="X54" s="457"/>
      <c r="Y54" s="457"/>
      <c r="Z54" s="457"/>
      <c r="AA54" s="457"/>
      <c r="AB54" s="457"/>
      <c r="AC54" s="459" t="s">
        <v>8</v>
      </c>
      <c r="AD54" s="459"/>
      <c r="AE54" s="459"/>
      <c r="AF54" s="459"/>
      <c r="AG54" s="459"/>
      <c r="AH54" s="459"/>
    </row>
    <row r="55" spans="2:36" ht="18" customHeight="1" thickBot="1" x14ac:dyDescent="0.45">
      <c r="B55" s="465"/>
      <c r="C55" s="465"/>
      <c r="D55" s="465"/>
      <c r="E55" s="465"/>
      <c r="F55" s="465"/>
      <c r="G55" s="465"/>
      <c r="H55" s="465"/>
      <c r="I55" s="465"/>
      <c r="J55" s="465"/>
      <c r="K55" s="465"/>
      <c r="L55" s="465"/>
      <c r="M55" s="465"/>
      <c r="N55" s="465"/>
      <c r="O55" s="457"/>
      <c r="P55" s="457"/>
      <c r="Q55" s="457"/>
      <c r="R55" s="457"/>
      <c r="S55" s="457"/>
      <c r="T55" s="457"/>
      <c r="U55" s="457"/>
      <c r="V55" s="457"/>
      <c r="W55" s="457"/>
      <c r="X55" s="457"/>
      <c r="Y55" s="457"/>
      <c r="Z55" s="457"/>
      <c r="AA55" s="457"/>
      <c r="AB55" s="457"/>
      <c r="AC55" s="459"/>
      <c r="AD55" s="459"/>
      <c r="AE55" s="459"/>
      <c r="AF55" s="459"/>
      <c r="AG55" s="459"/>
      <c r="AH55" s="459"/>
    </row>
    <row r="56" spans="2:36" ht="18" customHeight="1" thickBot="1" x14ac:dyDescent="0.45">
      <c r="B56" s="450" t="s">
        <v>133</v>
      </c>
      <c r="C56" s="450"/>
      <c r="D56" s="450"/>
      <c r="E56" s="450"/>
      <c r="F56" s="450"/>
      <c r="G56" s="450"/>
      <c r="H56" s="450"/>
      <c r="I56" s="450"/>
      <c r="J56" s="450"/>
      <c r="K56" s="450"/>
      <c r="L56" s="450"/>
      <c r="M56" s="450"/>
      <c r="N56" s="450"/>
      <c r="O56" s="450"/>
      <c r="P56" s="450"/>
      <c r="Q56" s="450"/>
      <c r="R56" s="450"/>
      <c r="S56" s="450"/>
      <c r="T56" s="450"/>
      <c r="U56" s="450"/>
      <c r="V56" s="450"/>
      <c r="W56" s="450"/>
      <c r="X56" s="450"/>
      <c r="Y56" s="450"/>
      <c r="Z56" s="450"/>
      <c r="AA56" s="450"/>
      <c r="AB56" s="450"/>
      <c r="AC56" s="459"/>
      <c r="AD56" s="459"/>
      <c r="AE56" s="459"/>
      <c r="AF56" s="459"/>
      <c r="AG56" s="459"/>
      <c r="AH56" s="459"/>
      <c r="AI56" s="17"/>
      <c r="AJ56" s="17"/>
    </row>
    <row r="61" spans="2:36" x14ac:dyDescent="0.4">
      <c r="AC61" s="464"/>
      <c r="AD61" s="464"/>
      <c r="AE61" s="464"/>
      <c r="AF61" s="464"/>
      <c r="AG61" s="464"/>
      <c r="AH61" s="464"/>
    </row>
    <row r="62" spans="2:36" x14ac:dyDescent="0.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4"/>
      <c r="AD62" s="4"/>
      <c r="AE62" s="4"/>
      <c r="AF62" s="4"/>
      <c r="AG62" s="4"/>
      <c r="AH62" s="4"/>
    </row>
    <row r="63" spans="2:36" x14ac:dyDescent="0.4">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5"/>
      <c r="AD63" s="5"/>
      <c r="AE63" s="5"/>
      <c r="AF63" s="5"/>
      <c r="AG63" s="5"/>
      <c r="AH63" s="5"/>
    </row>
    <row r="64" spans="2:36" x14ac:dyDescent="0.4">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2"/>
      <c r="AD64" s="2"/>
      <c r="AE64" s="2"/>
      <c r="AF64" s="2"/>
      <c r="AG64" s="2"/>
      <c r="AH64" s="2"/>
    </row>
    <row r="65" spans="2:34" x14ac:dyDescent="0.4">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2"/>
      <c r="AD65" s="2"/>
      <c r="AE65" s="2"/>
      <c r="AF65" s="2"/>
      <c r="AG65" s="2"/>
      <c r="AH65" s="2"/>
    </row>
    <row r="66" spans="2:34" x14ac:dyDescent="0.4">
      <c r="B66" s="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2"/>
      <c r="AD66" s="2"/>
      <c r="AE66" s="2"/>
      <c r="AF66" s="2"/>
      <c r="AG66" s="2"/>
      <c r="AH66" s="2"/>
    </row>
    <row r="67" spans="2:34" x14ac:dyDescent="0.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18"/>
      <c r="AD67" s="18"/>
      <c r="AE67" s="18"/>
      <c r="AF67" s="18"/>
      <c r="AG67" s="18"/>
      <c r="AH67" s="18"/>
    </row>
    <row r="68" spans="2:34" x14ac:dyDescent="0.4">
      <c r="B68" s="4"/>
      <c r="C68" s="4"/>
      <c r="D68" s="4"/>
      <c r="E68" s="9"/>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spans="2:34" x14ac:dyDescent="0.4">
      <c r="B69" s="4"/>
      <c r="C69" s="4"/>
      <c r="D69" s="4"/>
      <c r="F69" s="5"/>
      <c r="G69" s="5"/>
      <c r="I69" s="6"/>
      <c r="N69" s="19"/>
      <c r="O69" s="6"/>
      <c r="T69" s="6"/>
      <c r="V69" s="5"/>
      <c r="Z69" s="6"/>
      <c r="AF69" s="5"/>
      <c r="AG69" s="5"/>
      <c r="AH69" s="5"/>
    </row>
    <row r="70" spans="2:34" x14ac:dyDescent="0.4">
      <c r="B70" s="4"/>
      <c r="C70" s="4"/>
      <c r="D70" s="4"/>
      <c r="F70" s="5"/>
      <c r="G70" s="5"/>
      <c r="H70" s="5"/>
      <c r="I70" s="5"/>
      <c r="K70" s="5"/>
      <c r="L70" s="5"/>
      <c r="M70" s="5"/>
      <c r="N70" s="5"/>
      <c r="O70" s="5"/>
      <c r="P70" s="5"/>
      <c r="Q70" s="5"/>
      <c r="R70" s="5"/>
      <c r="S70" s="5"/>
      <c r="T70" s="5"/>
      <c r="U70" s="5"/>
      <c r="V70" s="5"/>
      <c r="W70" s="5"/>
      <c r="X70" s="5"/>
      <c r="Y70" s="5"/>
      <c r="Z70" s="5"/>
      <c r="AA70" s="5"/>
      <c r="AB70" s="20"/>
      <c r="AC70" s="5"/>
      <c r="AD70" s="5"/>
      <c r="AE70" s="5"/>
      <c r="AF70" s="5"/>
      <c r="AG70" s="5"/>
      <c r="AH70" s="5"/>
    </row>
    <row r="71" spans="2:34" x14ac:dyDescent="0.4">
      <c r="B71" s="4"/>
      <c r="C71" s="4"/>
      <c r="D71" s="4"/>
      <c r="F71" s="4"/>
      <c r="G71" s="4"/>
      <c r="H71" s="4"/>
      <c r="I71" s="4"/>
      <c r="J71" s="4"/>
      <c r="K71" s="4"/>
      <c r="L71" s="4"/>
      <c r="M71" s="4"/>
      <c r="N71" s="4"/>
      <c r="O71" s="4"/>
      <c r="P71" s="4"/>
      <c r="Q71" s="4"/>
      <c r="R71" s="4"/>
      <c r="S71" s="4"/>
      <c r="T71" s="5"/>
      <c r="U71" s="5"/>
      <c r="V71" s="5"/>
      <c r="W71" s="5"/>
      <c r="X71" s="5"/>
      <c r="Y71" s="5"/>
      <c r="Z71" s="5"/>
      <c r="AA71" s="5"/>
      <c r="AB71" s="5"/>
    </row>
    <row r="72" spans="2:34" x14ac:dyDescent="0.4">
      <c r="B72" s="4"/>
      <c r="C72" s="4"/>
      <c r="D72" s="4"/>
      <c r="F72" s="4"/>
      <c r="G72" s="4"/>
      <c r="H72" s="4"/>
      <c r="I72" s="4"/>
      <c r="J72" s="4"/>
      <c r="K72" s="4"/>
      <c r="L72" s="4"/>
      <c r="M72" s="4"/>
      <c r="N72" s="4"/>
      <c r="O72" s="4"/>
      <c r="P72" s="4"/>
      <c r="Q72" s="4"/>
      <c r="R72" s="4"/>
      <c r="S72" s="4"/>
      <c r="T72" s="21"/>
      <c r="U72" s="21"/>
      <c r="V72" s="21"/>
      <c r="W72" s="21"/>
      <c r="X72" s="21"/>
      <c r="Y72" s="21"/>
      <c r="Z72" s="21"/>
      <c r="AA72" s="21"/>
      <c r="AB72" s="21"/>
      <c r="AC72" s="5"/>
      <c r="AD72" s="5"/>
      <c r="AE72" s="5"/>
      <c r="AF72" s="5"/>
      <c r="AG72" s="5"/>
      <c r="AH72" s="5"/>
    </row>
    <row r="73" spans="2:34" x14ac:dyDescent="0.4">
      <c r="B73" s="4"/>
      <c r="C73" s="4"/>
      <c r="D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spans="2:34" x14ac:dyDescent="0.4">
      <c r="B74" s="4"/>
      <c r="C74" s="4"/>
      <c r="D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spans="2:34" x14ac:dyDescent="0.4">
      <c r="B75" s="22"/>
      <c r="C75" s="22"/>
      <c r="D75" s="22"/>
      <c r="E75" s="22"/>
      <c r="F75" s="22"/>
      <c r="G75" s="22"/>
      <c r="H75" s="22"/>
      <c r="I75" s="22"/>
      <c r="J75" s="22"/>
      <c r="K75" s="22"/>
      <c r="L75" s="22"/>
      <c r="M75" s="22"/>
      <c r="N75" s="22"/>
      <c r="O75" s="22"/>
      <c r="P75" s="22"/>
      <c r="Q75" s="22"/>
      <c r="R75" s="22"/>
      <c r="S75" s="22"/>
      <c r="T75" s="8"/>
      <c r="U75" s="8"/>
      <c r="V75" s="8"/>
      <c r="W75" s="8"/>
      <c r="X75" s="22"/>
      <c r="Y75" s="22"/>
      <c r="Z75" s="22"/>
      <c r="AA75" s="22"/>
      <c r="AB75" s="22"/>
      <c r="AC75" s="22"/>
      <c r="AD75" s="22"/>
      <c r="AE75" s="22"/>
      <c r="AF75" s="22"/>
      <c r="AG75" s="22"/>
      <c r="AH75" s="22"/>
    </row>
    <row r="76" spans="2:34" x14ac:dyDescent="0.4">
      <c r="B76" s="5"/>
      <c r="AC76" s="23"/>
      <c r="AD76" s="23"/>
      <c r="AE76" s="23"/>
      <c r="AF76" s="23"/>
      <c r="AG76" s="23"/>
      <c r="AH76" s="23"/>
    </row>
    <row r="77" spans="2:34" x14ac:dyDescent="0.4">
      <c r="C77" s="24"/>
      <c r="AC77" s="23"/>
      <c r="AD77" s="23"/>
      <c r="AE77" s="23"/>
      <c r="AF77" s="23"/>
      <c r="AG77" s="23"/>
      <c r="AH77" s="23"/>
    </row>
    <row r="78" spans="2:34" x14ac:dyDescent="0.4">
      <c r="AC78" s="23"/>
      <c r="AD78" s="23"/>
      <c r="AE78" s="23"/>
      <c r="AF78" s="23"/>
      <c r="AG78" s="23"/>
      <c r="AH78" s="23"/>
    </row>
    <row r="79" spans="2:34" x14ac:dyDescent="0.4">
      <c r="AC79" s="23"/>
      <c r="AD79" s="23"/>
      <c r="AE79" s="23"/>
      <c r="AF79" s="23"/>
      <c r="AG79" s="23"/>
      <c r="AH79" s="23"/>
    </row>
    <row r="80" spans="2:34" x14ac:dyDescent="0.4">
      <c r="AC80" s="23"/>
      <c r="AD80" s="23"/>
      <c r="AE80" s="23"/>
      <c r="AF80" s="23"/>
      <c r="AG80" s="23"/>
      <c r="AH80" s="23"/>
    </row>
    <row r="81" spans="2:34" x14ac:dyDescent="0.4">
      <c r="AC81" s="23"/>
      <c r="AD81" s="23"/>
      <c r="AE81" s="23"/>
      <c r="AF81" s="23"/>
      <c r="AG81" s="23"/>
      <c r="AH81" s="23"/>
    </row>
    <row r="82" spans="2:34" x14ac:dyDescent="0.4">
      <c r="AC82" s="23"/>
      <c r="AD82" s="23"/>
      <c r="AE82" s="23"/>
      <c r="AF82" s="23"/>
      <c r="AG82" s="23"/>
      <c r="AH82" s="23"/>
    </row>
    <row r="83" spans="2:34" x14ac:dyDescent="0.4">
      <c r="AC83" s="23"/>
      <c r="AD83" s="23"/>
      <c r="AE83" s="23"/>
      <c r="AF83" s="23"/>
      <c r="AG83" s="23"/>
      <c r="AH83" s="23"/>
    </row>
    <row r="84" spans="2:34" x14ac:dyDescent="0.4">
      <c r="AC84" s="23"/>
      <c r="AD84" s="23"/>
      <c r="AE84" s="23"/>
      <c r="AF84" s="23"/>
      <c r="AG84" s="23"/>
      <c r="AH84" s="23"/>
    </row>
    <row r="85" spans="2:34" x14ac:dyDescent="0.4">
      <c r="AC85" s="23"/>
      <c r="AD85" s="23"/>
      <c r="AE85" s="23"/>
      <c r="AF85" s="23"/>
      <c r="AG85" s="23"/>
      <c r="AH85" s="23"/>
    </row>
    <row r="86" spans="2:34" x14ac:dyDescent="0.4">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5"/>
      <c r="AD86" s="25"/>
      <c r="AE86" s="25"/>
      <c r="AF86" s="25"/>
      <c r="AG86" s="25"/>
      <c r="AH86" s="25"/>
    </row>
    <row r="87" spans="2:34" x14ac:dyDescent="0.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row>
    <row r="88" spans="2:34" x14ac:dyDescent="0.4">
      <c r="B88" s="9"/>
      <c r="C88" s="9"/>
      <c r="D88" s="9"/>
      <c r="E88" s="9"/>
      <c r="F88" s="5"/>
      <c r="G88" s="5"/>
      <c r="H88" s="5"/>
      <c r="I88" s="5"/>
      <c r="J88" s="5"/>
      <c r="K88" s="5"/>
      <c r="L88" s="5"/>
      <c r="M88" s="5"/>
      <c r="N88" s="5"/>
      <c r="O88" s="5"/>
      <c r="P88" s="5"/>
      <c r="Q88" s="5"/>
      <c r="R88" s="5"/>
      <c r="S88" s="9"/>
      <c r="T88" s="9"/>
      <c r="U88" s="10"/>
      <c r="V88" s="10"/>
      <c r="W88" s="10"/>
      <c r="X88" s="10"/>
      <c r="Y88" s="10"/>
      <c r="AA88" s="10"/>
      <c r="AB88" s="10"/>
      <c r="AC88" s="11"/>
      <c r="AD88" s="12"/>
      <c r="AE88" s="12"/>
      <c r="AF88" s="12"/>
      <c r="AG88" s="12"/>
      <c r="AH88" s="12"/>
    </row>
    <row r="89" spans="2:34" x14ac:dyDescent="0.4">
      <c r="B89" s="9"/>
      <c r="C89" s="9"/>
      <c r="D89" s="9"/>
      <c r="E89" s="9"/>
      <c r="F89" s="5"/>
      <c r="G89" s="5"/>
      <c r="H89" s="5"/>
      <c r="I89" s="5"/>
      <c r="J89" s="5"/>
      <c r="K89" s="5"/>
      <c r="L89" s="5"/>
      <c r="M89" s="5"/>
      <c r="N89" s="5"/>
      <c r="O89" s="5"/>
      <c r="P89" s="5"/>
      <c r="Q89" s="5"/>
      <c r="R89" s="5"/>
      <c r="S89" s="9"/>
      <c r="T89" s="9"/>
      <c r="U89" s="10"/>
      <c r="V89" s="10"/>
      <c r="W89" s="10"/>
      <c r="X89" s="10"/>
      <c r="Y89" s="10"/>
      <c r="AA89" s="10"/>
      <c r="AB89" s="10"/>
      <c r="AC89" s="11"/>
      <c r="AD89" s="12"/>
      <c r="AE89" s="12"/>
      <c r="AF89" s="12"/>
      <c r="AG89" s="12"/>
      <c r="AH89" s="12"/>
    </row>
    <row r="90" spans="2:34" x14ac:dyDescent="0.4">
      <c r="B90" s="9"/>
      <c r="C90" s="5"/>
      <c r="D90" s="5"/>
      <c r="E90" s="5"/>
      <c r="F90" s="5"/>
      <c r="G90" s="5"/>
      <c r="H90" s="5"/>
      <c r="I90" s="5"/>
      <c r="J90" s="4"/>
      <c r="K90" s="4"/>
      <c r="L90" s="4"/>
      <c r="M90" s="4"/>
      <c r="N90" s="4"/>
      <c r="O90" s="4"/>
      <c r="P90" s="4"/>
      <c r="Q90" s="4"/>
      <c r="R90" s="4"/>
      <c r="S90" s="4"/>
      <c r="T90" s="4"/>
      <c r="U90" s="4"/>
      <c r="V90" s="4"/>
      <c r="W90" s="4"/>
      <c r="X90" s="4"/>
      <c r="Y90" s="4"/>
      <c r="Z90" s="4"/>
      <c r="AA90" s="4"/>
      <c r="AB90" s="5"/>
      <c r="AC90" s="5"/>
      <c r="AD90" s="5"/>
      <c r="AE90" s="5"/>
      <c r="AF90" s="5"/>
      <c r="AG90" s="5"/>
      <c r="AH90" s="12"/>
    </row>
    <row r="91" spans="2:34" x14ac:dyDescent="0.4">
      <c r="B91" s="9"/>
      <c r="AH91" s="12"/>
    </row>
    <row r="93" spans="2:34" x14ac:dyDescent="0.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row>
    <row r="94" spans="2:34" x14ac:dyDescent="0.4">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5"/>
      <c r="AB94" s="5"/>
      <c r="AC94" s="5"/>
      <c r="AD94" s="5"/>
      <c r="AE94" s="5"/>
      <c r="AF94" s="5"/>
    </row>
    <row r="95" spans="2:34" x14ac:dyDescent="0.4">
      <c r="B95" s="13"/>
      <c r="C95" s="13"/>
      <c r="D95" s="13"/>
      <c r="E95" s="13"/>
      <c r="F95" s="5"/>
      <c r="G95" s="5"/>
      <c r="H95" s="5"/>
      <c r="I95" s="5"/>
      <c r="J95" s="5"/>
      <c r="K95" s="5"/>
      <c r="L95" s="5"/>
      <c r="M95" s="5"/>
      <c r="N95" s="5"/>
      <c r="O95" s="5"/>
      <c r="P95" s="5"/>
      <c r="Q95" s="5"/>
      <c r="R95" s="5"/>
      <c r="S95" s="5"/>
      <c r="T95" s="13"/>
      <c r="U95" s="13"/>
      <c r="V95" s="13"/>
      <c r="W95" s="13"/>
      <c r="X95" s="13"/>
      <c r="Y95" s="5"/>
      <c r="Z95" s="5"/>
      <c r="AA95" s="5"/>
      <c r="AB95" s="5"/>
      <c r="AC95" s="5"/>
      <c r="AD95" s="5"/>
      <c r="AE95" s="5"/>
      <c r="AF95" s="5"/>
      <c r="AG95" s="5"/>
      <c r="AH95" s="5"/>
    </row>
    <row r="96" spans="2:34" x14ac:dyDescent="0.4">
      <c r="B96" s="13"/>
      <c r="C96" s="13"/>
      <c r="D96" s="13"/>
      <c r="E96" s="13"/>
      <c r="F96" s="5"/>
      <c r="G96" s="5"/>
      <c r="H96" s="5"/>
      <c r="I96" s="5"/>
      <c r="J96" s="5"/>
      <c r="K96" s="5"/>
      <c r="L96" s="5"/>
      <c r="M96" s="5"/>
      <c r="N96" s="5"/>
      <c r="O96" s="5"/>
      <c r="P96" s="5"/>
      <c r="Q96" s="5"/>
      <c r="R96" s="5"/>
      <c r="S96" s="5"/>
      <c r="T96" s="13"/>
      <c r="U96" s="13"/>
      <c r="V96" s="13"/>
      <c r="W96" s="13"/>
      <c r="X96" s="13"/>
      <c r="Y96" s="5"/>
      <c r="Z96" s="5"/>
      <c r="AA96" s="5"/>
      <c r="AB96" s="5"/>
      <c r="AC96" s="5"/>
      <c r="AD96" s="5"/>
      <c r="AE96" s="5"/>
      <c r="AF96" s="5"/>
      <c r="AG96" s="5"/>
      <c r="AH96" s="5"/>
    </row>
    <row r="97" spans="2:34" x14ac:dyDescent="0.4">
      <c r="B97" s="13"/>
      <c r="C97" s="13"/>
      <c r="D97" s="13"/>
      <c r="E97" s="13"/>
      <c r="F97" s="5"/>
      <c r="G97" s="5"/>
      <c r="H97" s="5"/>
      <c r="I97" s="5"/>
      <c r="J97" s="5"/>
      <c r="K97" s="5"/>
      <c r="L97" s="5"/>
      <c r="M97" s="5"/>
      <c r="N97" s="5"/>
      <c r="O97" s="5"/>
      <c r="P97" s="5"/>
      <c r="Q97" s="5"/>
      <c r="R97" s="5"/>
      <c r="S97" s="5"/>
      <c r="T97" s="13"/>
      <c r="U97" s="13"/>
      <c r="V97" s="13"/>
      <c r="W97" s="13"/>
      <c r="X97" s="13"/>
      <c r="Y97" s="5"/>
      <c r="Z97" s="5"/>
      <c r="AA97" s="5"/>
      <c r="AB97" s="5"/>
      <c r="AC97" s="5"/>
      <c r="AD97" s="5"/>
      <c r="AE97" s="5"/>
      <c r="AF97" s="5"/>
      <c r="AG97" s="5"/>
      <c r="AH97" s="5"/>
    </row>
    <row r="98" spans="2:34" x14ac:dyDescent="0.4">
      <c r="B98" s="13"/>
      <c r="C98" s="13"/>
      <c r="D98" s="13"/>
      <c r="E98" s="13"/>
      <c r="F98" s="5"/>
      <c r="G98" s="5"/>
      <c r="H98" s="5"/>
      <c r="I98" s="5"/>
      <c r="J98" s="5"/>
      <c r="K98" s="5"/>
      <c r="L98" s="5"/>
      <c r="M98" s="5"/>
      <c r="N98" s="5"/>
      <c r="O98" s="5"/>
      <c r="P98" s="5"/>
      <c r="Q98" s="5"/>
      <c r="R98" s="5"/>
      <c r="S98" s="5"/>
      <c r="T98" s="13"/>
      <c r="U98" s="13"/>
      <c r="V98" s="13"/>
      <c r="W98" s="13"/>
      <c r="X98" s="13"/>
      <c r="Y98" s="5"/>
      <c r="Z98" s="5"/>
      <c r="AA98" s="5"/>
      <c r="AB98" s="5"/>
      <c r="AC98" s="5"/>
      <c r="AD98" s="5"/>
      <c r="AE98" s="5"/>
      <c r="AF98" s="5"/>
      <c r="AG98" s="5"/>
      <c r="AH98" s="5"/>
    </row>
    <row r="99" spans="2:34" x14ac:dyDescent="0.4">
      <c r="B99" s="14"/>
      <c r="C99" s="14"/>
      <c r="D99" s="14"/>
      <c r="E99" s="14"/>
      <c r="F99" s="15"/>
      <c r="G99" s="15"/>
      <c r="H99" s="15"/>
      <c r="I99" s="15"/>
      <c r="J99" s="15"/>
      <c r="K99" s="15"/>
      <c r="L99" s="15"/>
      <c r="M99" s="15"/>
      <c r="N99" s="15"/>
      <c r="O99" s="15"/>
      <c r="P99" s="15"/>
      <c r="Q99" s="15"/>
      <c r="R99" s="15"/>
      <c r="S99" s="15"/>
      <c r="T99" s="14"/>
      <c r="U99" s="4"/>
      <c r="V99" s="4"/>
      <c r="W99" s="4"/>
      <c r="X99" s="4"/>
      <c r="Y99" s="4"/>
      <c r="Z99" s="4"/>
      <c r="AA99" s="4"/>
      <c r="AB99" s="4"/>
      <c r="AC99" s="4"/>
      <c r="AD99" s="4"/>
      <c r="AE99" s="4"/>
      <c r="AF99" s="15"/>
      <c r="AG99" s="15"/>
      <c r="AH99" s="15"/>
    </row>
    <row r="100" spans="2:34" x14ac:dyDescent="0.4">
      <c r="B100" s="14"/>
      <c r="C100" s="14"/>
      <c r="D100" s="14"/>
      <c r="E100" s="14"/>
      <c r="F100" s="15"/>
      <c r="G100" s="15"/>
      <c r="H100" s="15"/>
      <c r="I100" s="15"/>
      <c r="J100" s="15"/>
      <c r="K100" s="15"/>
      <c r="L100" s="15"/>
      <c r="M100" s="15"/>
      <c r="N100" s="15"/>
      <c r="O100" s="15"/>
      <c r="P100" s="15"/>
      <c r="Q100" s="15"/>
      <c r="R100" s="15"/>
      <c r="S100" s="15"/>
      <c r="T100" s="14"/>
      <c r="U100" s="14"/>
      <c r="V100" s="14"/>
      <c r="W100" s="14"/>
      <c r="X100" s="14"/>
      <c r="Y100" s="14"/>
      <c r="Z100" s="14"/>
      <c r="AA100" s="14"/>
      <c r="AB100" s="14"/>
      <c r="AC100" s="14"/>
      <c r="AD100" s="14"/>
      <c r="AE100" s="14"/>
      <c r="AF100" s="14"/>
      <c r="AG100" s="14"/>
      <c r="AH100" s="14"/>
    </row>
    <row r="101" spans="2:34" x14ac:dyDescent="0.4">
      <c r="T101" s="14"/>
      <c r="U101" s="14"/>
      <c r="V101" s="14"/>
      <c r="W101" s="14"/>
      <c r="X101" s="14"/>
      <c r="Y101" s="14"/>
      <c r="Z101" s="14"/>
      <c r="AA101" s="14"/>
      <c r="AB101" s="14"/>
      <c r="AC101" s="14"/>
      <c r="AD101" s="14"/>
      <c r="AE101" s="14"/>
      <c r="AF101" s="14"/>
      <c r="AG101" s="14"/>
      <c r="AH101" s="14"/>
    </row>
    <row r="102" spans="2:34" x14ac:dyDescent="0.4">
      <c r="B102" s="5"/>
      <c r="C102" s="5"/>
      <c r="D102" s="5"/>
      <c r="E102" s="5"/>
      <c r="F102" s="5"/>
      <c r="G102" s="5"/>
      <c r="H102" s="5"/>
      <c r="T102" s="14"/>
      <c r="U102" s="14"/>
      <c r="V102" s="14"/>
      <c r="W102" s="14"/>
      <c r="X102" s="14"/>
      <c r="Y102" s="14"/>
      <c r="Z102" s="14"/>
      <c r="AA102" s="14"/>
      <c r="AB102" s="14"/>
      <c r="AC102" s="14"/>
      <c r="AD102" s="14"/>
      <c r="AE102" s="14"/>
      <c r="AF102" s="14"/>
      <c r="AG102" s="14"/>
      <c r="AH102" s="14"/>
    </row>
    <row r="103" spans="2:34" x14ac:dyDescent="0.4">
      <c r="T103" s="14"/>
      <c r="U103" s="14"/>
      <c r="V103" s="14"/>
      <c r="W103" s="14"/>
      <c r="X103" s="14"/>
      <c r="Y103" s="14"/>
      <c r="Z103" s="14"/>
      <c r="AA103" s="14"/>
      <c r="AB103" s="14"/>
      <c r="AC103" s="14"/>
      <c r="AD103" s="14"/>
      <c r="AE103" s="14"/>
      <c r="AF103" s="14"/>
      <c r="AG103" s="14"/>
      <c r="AH103" s="14"/>
    </row>
    <row r="104" spans="2:34" x14ac:dyDescent="0.4">
      <c r="B104" s="5"/>
      <c r="C104" s="5"/>
      <c r="D104" s="5"/>
      <c r="E104" s="5"/>
      <c r="F104" s="5"/>
      <c r="G104" s="5"/>
      <c r="H104" s="5"/>
      <c r="I104" s="5"/>
      <c r="J104" s="5"/>
      <c r="K104" s="5"/>
      <c r="L104" s="5"/>
      <c r="M104" s="5"/>
      <c r="N104" s="5"/>
      <c r="O104" s="5"/>
      <c r="P104" s="5"/>
      <c r="Q104" s="5"/>
      <c r="R104" s="5"/>
      <c r="S104" s="5"/>
      <c r="T104" s="14"/>
      <c r="U104" s="14"/>
      <c r="V104" s="14"/>
      <c r="W104" s="14"/>
      <c r="X104" s="14"/>
      <c r="Y104" s="14"/>
      <c r="Z104" s="14"/>
      <c r="AA104" s="14"/>
      <c r="AB104" s="14"/>
      <c r="AC104" s="14"/>
      <c r="AD104" s="14"/>
      <c r="AE104" s="14"/>
      <c r="AF104" s="14"/>
      <c r="AG104" s="14"/>
      <c r="AH104" s="14"/>
    </row>
    <row r="105" spans="2:34" x14ac:dyDescent="0.4">
      <c r="T105" s="14"/>
      <c r="U105" s="14"/>
      <c r="V105" s="14"/>
      <c r="W105" s="14"/>
      <c r="X105" s="14"/>
      <c r="Y105" s="14"/>
      <c r="Z105" s="14"/>
      <c r="AA105" s="14"/>
      <c r="AB105" s="14"/>
      <c r="AC105" s="14"/>
      <c r="AD105" s="14"/>
      <c r="AE105" s="14"/>
      <c r="AF105" s="14"/>
      <c r="AG105" s="14"/>
      <c r="AH105" s="26"/>
    </row>
    <row r="106" spans="2:34" x14ac:dyDescent="0.4">
      <c r="D106" s="6"/>
      <c r="T106" s="14"/>
      <c r="U106" s="14"/>
      <c r="V106" s="14"/>
      <c r="W106" s="14"/>
      <c r="X106" s="14"/>
      <c r="Y106" s="14"/>
      <c r="Z106" s="14"/>
      <c r="AA106" s="14"/>
      <c r="AB106" s="14"/>
      <c r="AC106" s="14"/>
      <c r="AD106" s="14"/>
      <c r="AE106" s="14"/>
      <c r="AF106" s="14"/>
      <c r="AG106" s="14"/>
      <c r="AH106" s="14"/>
    </row>
    <row r="107" spans="2:34" x14ac:dyDescent="0.4">
      <c r="T107" s="14"/>
      <c r="U107" s="14"/>
      <c r="V107" s="14"/>
      <c r="W107" s="14"/>
      <c r="X107" s="14"/>
      <c r="Y107" s="14"/>
      <c r="Z107" s="14"/>
      <c r="AA107" s="14"/>
      <c r="AB107" s="14"/>
      <c r="AC107" s="14"/>
      <c r="AD107" s="14"/>
      <c r="AE107" s="14"/>
      <c r="AF107" s="14"/>
      <c r="AG107" s="14"/>
      <c r="AH107" s="14"/>
    </row>
    <row r="108" spans="2:34" x14ac:dyDescent="0.4">
      <c r="B108" s="13"/>
      <c r="C108" s="13"/>
      <c r="D108" s="13"/>
      <c r="E108" s="13"/>
      <c r="F108" s="5"/>
      <c r="G108" s="5"/>
      <c r="H108" s="5"/>
      <c r="I108" s="5"/>
      <c r="J108" s="5"/>
      <c r="K108" s="5"/>
      <c r="L108" s="5"/>
      <c r="M108" s="5"/>
      <c r="N108" s="5"/>
      <c r="O108" s="5"/>
      <c r="P108" s="5"/>
      <c r="Q108" s="5"/>
      <c r="R108" s="5"/>
      <c r="S108" s="5"/>
      <c r="T108" s="13"/>
      <c r="U108" s="13"/>
      <c r="V108" s="13"/>
      <c r="W108" s="13"/>
      <c r="X108" s="13"/>
      <c r="Y108" s="13"/>
      <c r="Z108" s="13"/>
      <c r="AA108" s="13"/>
      <c r="AB108" s="13"/>
      <c r="AC108" s="13"/>
      <c r="AD108" s="13"/>
      <c r="AE108" s="13"/>
      <c r="AF108" s="13"/>
      <c r="AG108" s="13"/>
      <c r="AH108" s="13"/>
    </row>
    <row r="109" spans="2:34" x14ac:dyDescent="0.4">
      <c r="B109" s="13"/>
      <c r="C109" s="13"/>
      <c r="D109" s="13"/>
      <c r="E109" s="13"/>
      <c r="F109" s="5"/>
      <c r="G109" s="5"/>
      <c r="H109" s="5"/>
      <c r="I109" s="5"/>
      <c r="J109" s="5"/>
      <c r="K109" s="5"/>
      <c r="L109" s="5"/>
      <c r="M109" s="5"/>
      <c r="N109" s="5"/>
      <c r="O109" s="5"/>
      <c r="P109" s="5"/>
      <c r="Q109" s="5"/>
      <c r="R109" s="5"/>
      <c r="S109" s="5"/>
      <c r="T109" s="13"/>
      <c r="U109" s="13"/>
      <c r="V109" s="13"/>
      <c r="W109" s="13"/>
      <c r="X109" s="13"/>
      <c r="Y109" s="13"/>
      <c r="Z109" s="13"/>
      <c r="AA109" s="13"/>
      <c r="AB109" s="13"/>
      <c r="AC109" s="13"/>
      <c r="AD109" s="13"/>
      <c r="AE109" s="13"/>
      <c r="AF109" s="13"/>
      <c r="AG109" s="13"/>
      <c r="AH109" s="13"/>
    </row>
    <row r="110" spans="2:34" x14ac:dyDescent="0.4">
      <c r="B110" s="13"/>
      <c r="C110" s="13"/>
      <c r="D110" s="13"/>
      <c r="E110" s="13"/>
      <c r="F110" s="4"/>
      <c r="G110" s="4"/>
      <c r="H110" s="4"/>
      <c r="I110" s="4"/>
      <c r="J110" s="4"/>
      <c r="K110" s="4"/>
      <c r="L110" s="4"/>
      <c r="M110" s="4"/>
      <c r="N110" s="4"/>
      <c r="O110" s="4"/>
      <c r="P110" s="4"/>
      <c r="Q110" s="4"/>
      <c r="R110" s="4"/>
      <c r="S110" s="4"/>
      <c r="T110" s="13"/>
      <c r="U110" s="13"/>
      <c r="V110" s="13"/>
      <c r="W110" s="13"/>
      <c r="X110" s="13"/>
      <c r="Y110" s="13"/>
      <c r="Z110" s="13"/>
      <c r="AA110" s="13"/>
      <c r="AB110" s="13"/>
      <c r="AC110" s="13"/>
      <c r="AD110" s="13"/>
      <c r="AE110" s="13"/>
      <c r="AF110" s="13"/>
      <c r="AG110" s="13"/>
      <c r="AH110" s="13"/>
    </row>
    <row r="111" spans="2:34" x14ac:dyDescent="0.4">
      <c r="B111" s="13"/>
      <c r="C111" s="13"/>
      <c r="D111" s="13"/>
      <c r="E111" s="13"/>
      <c r="F111" s="4"/>
      <c r="G111" s="4"/>
      <c r="H111" s="4"/>
      <c r="I111" s="4"/>
      <c r="J111" s="4"/>
      <c r="K111" s="4"/>
      <c r="L111" s="4"/>
      <c r="M111" s="4"/>
      <c r="N111" s="4"/>
      <c r="O111" s="4"/>
      <c r="P111" s="4"/>
      <c r="Q111" s="4"/>
      <c r="R111" s="4"/>
      <c r="S111" s="4"/>
      <c r="T111" s="13"/>
      <c r="U111" s="13"/>
      <c r="V111" s="13"/>
      <c r="W111" s="13"/>
      <c r="X111" s="13"/>
      <c r="Y111" s="13"/>
      <c r="Z111" s="13"/>
      <c r="AA111" s="13"/>
      <c r="AB111" s="13"/>
      <c r="AC111" s="13"/>
      <c r="AD111" s="13"/>
      <c r="AE111" s="13"/>
      <c r="AF111" s="13"/>
      <c r="AG111" s="13"/>
      <c r="AH111" s="13"/>
    </row>
    <row r="112" spans="2:34" x14ac:dyDescent="0.4">
      <c r="B112" s="13"/>
      <c r="C112" s="13"/>
      <c r="D112" s="13"/>
      <c r="E112" s="13"/>
      <c r="F112" s="13"/>
      <c r="G112" s="4"/>
      <c r="H112" s="4"/>
      <c r="I112" s="4"/>
      <c r="J112" s="4"/>
      <c r="K112" s="4"/>
      <c r="L112" s="4"/>
      <c r="M112" s="4"/>
      <c r="N112" s="4"/>
      <c r="O112" s="4"/>
      <c r="P112" s="4"/>
      <c r="Q112" s="4"/>
      <c r="R112" s="4"/>
      <c r="S112" s="4"/>
      <c r="T112" s="13"/>
      <c r="U112" s="13"/>
      <c r="V112" s="13"/>
      <c r="W112" s="13"/>
      <c r="X112" s="13"/>
      <c r="Y112" s="13"/>
      <c r="Z112" s="13"/>
      <c r="AA112" s="13"/>
      <c r="AB112" s="13"/>
      <c r="AC112" s="13"/>
      <c r="AD112" s="13"/>
      <c r="AE112" s="13"/>
      <c r="AF112" s="13"/>
      <c r="AG112" s="13"/>
      <c r="AH112" s="13"/>
    </row>
    <row r="113" spans="2:34" x14ac:dyDescent="0.4">
      <c r="B113" s="13"/>
      <c r="C113" s="13"/>
      <c r="D113" s="13"/>
      <c r="E113" s="13"/>
      <c r="F113" s="13"/>
      <c r="G113" s="13"/>
      <c r="H113" s="13"/>
      <c r="I113" s="13"/>
      <c r="J113" s="13"/>
      <c r="K113" s="13"/>
      <c r="L113" s="13"/>
      <c r="M113" s="13"/>
      <c r="N113" s="13"/>
      <c r="O113" s="13"/>
      <c r="P113" s="13"/>
      <c r="Q113" s="13"/>
      <c r="R113" s="13"/>
      <c r="S113" s="13"/>
      <c r="T113" s="13"/>
      <c r="U113" s="13"/>
      <c r="V113" s="13"/>
      <c r="W113" s="13"/>
      <c r="X113" s="15"/>
      <c r="Y113" s="15"/>
      <c r="Z113" s="15"/>
      <c r="AA113" s="15"/>
      <c r="AB113" s="15"/>
      <c r="AC113" s="15"/>
      <c r="AD113" s="15"/>
      <c r="AE113" s="15"/>
      <c r="AF113" s="15"/>
      <c r="AG113" s="15"/>
      <c r="AH113" s="15"/>
    </row>
    <row r="114" spans="2:34" x14ac:dyDescent="0.4">
      <c r="B114" s="13"/>
      <c r="C114" s="13"/>
      <c r="D114" s="13"/>
      <c r="E114" s="13"/>
      <c r="F114" s="5"/>
      <c r="G114" s="5"/>
      <c r="H114" s="5"/>
      <c r="I114" s="5"/>
      <c r="J114" s="5"/>
      <c r="K114" s="5"/>
      <c r="L114" s="5"/>
      <c r="M114" s="5"/>
      <c r="N114" s="5"/>
      <c r="O114" s="5"/>
      <c r="P114" s="5"/>
      <c r="Q114" s="5"/>
      <c r="R114" s="5"/>
      <c r="S114" s="5"/>
      <c r="T114" s="13"/>
      <c r="U114" s="13"/>
      <c r="V114" s="13"/>
      <c r="W114" s="13"/>
      <c r="X114" s="13"/>
      <c r="Y114" s="13"/>
      <c r="Z114" s="13"/>
      <c r="AA114" s="13"/>
      <c r="AB114" s="13"/>
      <c r="AC114" s="13"/>
      <c r="AD114" s="13"/>
      <c r="AE114" s="13"/>
      <c r="AF114" s="13"/>
      <c r="AG114" s="13"/>
      <c r="AH114" s="13"/>
    </row>
    <row r="115" spans="2:34" x14ac:dyDescent="0.4">
      <c r="B115" s="13"/>
      <c r="C115" s="13"/>
      <c r="D115" s="13"/>
      <c r="E115" s="13"/>
      <c r="F115" s="5"/>
      <c r="G115" s="5"/>
      <c r="H115" s="5"/>
      <c r="I115" s="5"/>
      <c r="J115" s="5"/>
      <c r="K115" s="5"/>
      <c r="L115" s="5"/>
      <c r="M115" s="5"/>
      <c r="N115" s="5"/>
      <c r="O115" s="5"/>
      <c r="P115" s="5"/>
      <c r="Q115" s="5"/>
      <c r="R115" s="5"/>
      <c r="S115" s="5"/>
      <c r="T115" s="13"/>
      <c r="U115" s="13"/>
      <c r="V115" s="13"/>
      <c r="W115" s="13"/>
      <c r="X115" s="13"/>
      <c r="Y115" s="13"/>
      <c r="Z115" s="13"/>
      <c r="AA115" s="13"/>
      <c r="AB115" s="13"/>
      <c r="AC115" s="13"/>
      <c r="AD115" s="13"/>
      <c r="AE115" s="13"/>
      <c r="AF115" s="13"/>
      <c r="AG115" s="13"/>
      <c r="AH115" s="13"/>
    </row>
    <row r="116" spans="2:34" x14ac:dyDescent="0.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F116" s="5"/>
      <c r="AG116" s="5"/>
      <c r="AH116" s="5"/>
    </row>
    <row r="117" spans="2:34" x14ac:dyDescent="0.4">
      <c r="B117" s="13"/>
      <c r="C117" s="13"/>
      <c r="D117" s="13"/>
      <c r="F117" s="5"/>
      <c r="G117" s="5"/>
      <c r="H117" s="5"/>
      <c r="I117" s="5"/>
      <c r="J117" s="5"/>
      <c r="K117" s="5"/>
      <c r="L117" s="5"/>
      <c r="M117" s="5"/>
      <c r="N117" s="5"/>
      <c r="O117" s="16"/>
      <c r="P117" s="16"/>
      <c r="Q117" s="16"/>
      <c r="R117" s="16"/>
      <c r="S117" s="16"/>
      <c r="T117" s="16"/>
      <c r="U117" s="16"/>
      <c r="V117" s="16"/>
      <c r="W117" s="16"/>
      <c r="X117" s="16"/>
      <c r="Y117" s="16"/>
      <c r="Z117" s="16"/>
      <c r="AA117" s="16"/>
      <c r="AB117" s="16"/>
      <c r="AC117" s="5"/>
      <c r="AD117" s="5"/>
      <c r="AE117" s="5"/>
      <c r="AF117" s="5"/>
      <c r="AG117" s="5"/>
      <c r="AH117" s="5"/>
    </row>
    <row r="118" spans="2:34" x14ac:dyDescent="0.4">
      <c r="B118" s="13"/>
      <c r="C118" s="13"/>
      <c r="D118" s="13"/>
      <c r="F118" s="5"/>
      <c r="G118" s="5"/>
      <c r="H118" s="5"/>
      <c r="I118" s="5"/>
      <c r="J118" s="5"/>
      <c r="K118" s="5"/>
      <c r="L118" s="5"/>
      <c r="M118" s="5"/>
      <c r="N118" s="5"/>
      <c r="O118" s="16"/>
      <c r="P118" s="16"/>
      <c r="Q118" s="16"/>
      <c r="R118" s="16"/>
      <c r="S118" s="16"/>
      <c r="T118" s="16"/>
      <c r="U118" s="16"/>
      <c r="V118" s="16"/>
      <c r="W118" s="16"/>
      <c r="X118" s="16"/>
      <c r="Y118" s="16"/>
      <c r="Z118" s="16"/>
      <c r="AA118" s="16"/>
      <c r="AB118" s="16"/>
      <c r="AC118" s="5"/>
      <c r="AD118" s="5"/>
      <c r="AE118" s="5"/>
      <c r="AF118" s="5"/>
      <c r="AG118" s="5"/>
      <c r="AH118" s="5"/>
    </row>
    <row r="119" spans="2:34" x14ac:dyDescent="0.4">
      <c r="B119" s="13"/>
      <c r="C119" s="5"/>
      <c r="D119" s="5"/>
      <c r="E119" s="5"/>
      <c r="F119" s="5"/>
      <c r="G119" s="5"/>
      <c r="H119" s="5"/>
      <c r="I119" s="5"/>
      <c r="J119" s="5"/>
      <c r="K119" s="5"/>
      <c r="L119" s="5"/>
      <c r="M119" s="5"/>
      <c r="N119" s="5"/>
      <c r="O119" s="16"/>
      <c r="P119" s="16"/>
      <c r="Q119" s="16"/>
      <c r="R119" s="16"/>
      <c r="S119" s="16"/>
      <c r="T119" s="16"/>
      <c r="U119" s="16"/>
      <c r="V119" s="16"/>
      <c r="W119" s="16"/>
      <c r="X119" s="16"/>
      <c r="Y119" s="16"/>
      <c r="Z119" s="16"/>
      <c r="AA119" s="16"/>
      <c r="AB119" s="16"/>
      <c r="AE119" s="5"/>
      <c r="AF119" s="5"/>
      <c r="AG119" s="5"/>
      <c r="AH119" s="5"/>
    </row>
    <row r="120" spans="2:34" x14ac:dyDescent="0.4">
      <c r="B120" s="5"/>
      <c r="C120" s="5"/>
      <c r="D120" s="5"/>
      <c r="E120" s="5"/>
      <c r="F120" s="5"/>
      <c r="G120" s="5"/>
      <c r="H120" s="5"/>
      <c r="I120" s="5"/>
      <c r="J120" s="5"/>
      <c r="K120" s="5"/>
      <c r="L120" s="5"/>
      <c r="M120" s="5"/>
      <c r="N120" s="5"/>
      <c r="O120" s="16"/>
      <c r="P120" s="16"/>
      <c r="Q120" s="16"/>
      <c r="R120" s="16"/>
      <c r="S120" s="16"/>
      <c r="T120" s="16"/>
      <c r="U120" s="16"/>
      <c r="V120" s="16"/>
      <c r="W120" s="16"/>
      <c r="X120" s="16"/>
      <c r="Y120" s="16"/>
      <c r="Z120" s="16"/>
      <c r="AA120" s="16"/>
      <c r="AB120" s="16"/>
      <c r="AC120" s="5"/>
      <c r="AD120" s="5"/>
      <c r="AE120" s="5"/>
      <c r="AF120" s="5"/>
      <c r="AG120" s="5"/>
      <c r="AH120" s="5"/>
    </row>
    <row r="121" spans="2:34" x14ac:dyDescent="0.4">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5"/>
      <c r="AD121" s="5"/>
      <c r="AE121" s="5"/>
      <c r="AF121" s="5"/>
      <c r="AG121" s="5"/>
      <c r="AH121" s="5"/>
    </row>
  </sheetData>
  <mergeCells count="91">
    <mergeCell ref="B10:AB10"/>
    <mergeCell ref="AC8:AH10"/>
    <mergeCell ref="AC2:AH2"/>
    <mergeCell ref="AC19:AH23"/>
    <mergeCell ref="X19:AB23"/>
    <mergeCell ref="S19:W23"/>
    <mergeCell ref="B19:R23"/>
    <mergeCell ref="B16:D17"/>
    <mergeCell ref="F16:AH17"/>
    <mergeCell ref="B18:R18"/>
    <mergeCell ref="S18:W18"/>
    <mergeCell ref="X18:AB18"/>
    <mergeCell ref="AC18:AH18"/>
    <mergeCell ref="B11:D13"/>
    <mergeCell ref="F11:AH11"/>
    <mergeCell ref="K13:N13"/>
    <mergeCell ref="P13:U13"/>
    <mergeCell ref="B14:D15"/>
    <mergeCell ref="AC61:AH61"/>
    <mergeCell ref="B54:E55"/>
    <mergeCell ref="F54:N55"/>
    <mergeCell ref="O54:S55"/>
    <mergeCell ref="T54:AB55"/>
    <mergeCell ref="B56:AB56"/>
    <mergeCell ref="AC54:AH56"/>
    <mergeCell ref="B49:E50"/>
    <mergeCell ref="F49:S50"/>
    <mergeCell ref="T49:W50"/>
    <mergeCell ref="X49:AH50"/>
    <mergeCell ref="C51:AB51"/>
    <mergeCell ref="B52:D53"/>
    <mergeCell ref="F52:N53"/>
    <mergeCell ref="O52:S53"/>
    <mergeCell ref="T52:AB53"/>
    <mergeCell ref="AC51:AH53"/>
    <mergeCell ref="B47:E48"/>
    <mergeCell ref="F47:S47"/>
    <mergeCell ref="T47:W48"/>
    <mergeCell ref="X47:AH47"/>
    <mergeCell ref="F48:S48"/>
    <mergeCell ref="X48:AH48"/>
    <mergeCell ref="B28:AH28"/>
    <mergeCell ref="B29:AH29"/>
    <mergeCell ref="B45:E46"/>
    <mergeCell ref="F45:S46"/>
    <mergeCell ref="T45:W46"/>
    <mergeCell ref="X45:AH46"/>
    <mergeCell ref="B37:H37"/>
    <mergeCell ref="T38:AH39"/>
    <mergeCell ref="B39:S39"/>
    <mergeCell ref="T40:AH40"/>
    <mergeCell ref="T41:AH42"/>
    <mergeCell ref="B43:E44"/>
    <mergeCell ref="F43:S44"/>
    <mergeCell ref="T43:W44"/>
    <mergeCell ref="X43:AH44"/>
    <mergeCell ref="T35:AH37"/>
    <mergeCell ref="M30:Y30"/>
    <mergeCell ref="B32:R32"/>
    <mergeCell ref="S32:Z32"/>
    <mergeCell ref="AA32:AF32"/>
    <mergeCell ref="AG32:AH32"/>
    <mergeCell ref="C25:AH25"/>
    <mergeCell ref="B24:AB24"/>
    <mergeCell ref="AC24:AH24"/>
    <mergeCell ref="AK19:AM19"/>
    <mergeCell ref="AK20:AM20"/>
    <mergeCell ref="AK21:AM21"/>
    <mergeCell ref="F14:S15"/>
    <mergeCell ref="T14:AB14"/>
    <mergeCell ref="AC14:AH14"/>
    <mergeCell ref="T15:AB15"/>
    <mergeCell ref="AC15:AH15"/>
    <mergeCell ref="B6:AA6"/>
    <mergeCell ref="AC6:AH6"/>
    <mergeCell ref="B7:AB7"/>
    <mergeCell ref="AC7:AH7"/>
    <mergeCell ref="B9:AB9"/>
    <mergeCell ref="B5:AB5"/>
    <mergeCell ref="AC5:AH5"/>
    <mergeCell ref="B3:AB3"/>
    <mergeCell ref="AC3:AH3"/>
    <mergeCell ref="B4:AB4"/>
    <mergeCell ref="AC4:AH4"/>
    <mergeCell ref="U34:AH34"/>
    <mergeCell ref="C31:AH31"/>
    <mergeCell ref="B33:R33"/>
    <mergeCell ref="S33:Z33"/>
    <mergeCell ref="AA33:AF33"/>
    <mergeCell ref="AG33:AH33"/>
    <mergeCell ref="C34:S34"/>
  </mergeCells>
  <pageMargins left="0.7" right="0.7" top="0.75" bottom="0.75" header="0.3" footer="0.3"/>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1797-FFD4-4BB1-877D-1B8BBB30B8D8}">
  <sheetPr>
    <pageSetUpPr fitToPage="1"/>
  </sheetPr>
  <dimension ref="A1:Z283"/>
  <sheetViews>
    <sheetView view="pageBreakPreview" topLeftCell="A14" zoomScale="80" zoomScaleNormal="80" zoomScaleSheetLayoutView="80" workbookViewId="0">
      <selection activeCell="E59" sqref="E59"/>
    </sheetView>
  </sheetViews>
  <sheetFormatPr defaultColWidth="0" defaultRowHeight="15" customHeight="1" x14ac:dyDescent="0.4"/>
  <cols>
    <col min="1" max="1" width="8.59765625" style="29" customWidth="1"/>
    <col min="2" max="2" width="24.53125" style="29" customWidth="1"/>
    <col min="3" max="3" width="9.796875" style="29" customWidth="1"/>
    <col min="4" max="4" width="40.59765625" style="29" customWidth="1"/>
    <col min="5" max="5" width="20.46484375" style="29" customWidth="1"/>
    <col min="6" max="6" width="19.59765625" style="29" customWidth="1"/>
    <col min="7" max="7" width="20.3984375" style="29" customWidth="1"/>
    <col min="8" max="8" width="19.06640625" style="29" customWidth="1"/>
    <col min="9" max="9" width="18.265625" style="29" customWidth="1"/>
    <col min="10" max="10" width="13.06640625" style="39" customWidth="1"/>
    <col min="11" max="11" width="19.59765625" style="29" customWidth="1"/>
    <col min="12" max="12" width="8" style="29" customWidth="1"/>
    <col min="13" max="13" width="10.53125" style="29" hidden="1" customWidth="1"/>
    <col min="14" max="14" width="9.796875" style="29" hidden="1" customWidth="1"/>
    <col min="15" max="15" width="19.796875" style="29" hidden="1" customWidth="1"/>
    <col min="16" max="16" width="10.265625" style="29" hidden="1" customWidth="1"/>
    <col min="17" max="17" width="11" style="29" hidden="1" customWidth="1"/>
    <col min="18" max="18" width="10.53125" style="29" hidden="1" customWidth="1"/>
    <col min="19" max="19" width="11" style="29" hidden="1" customWidth="1"/>
    <col min="20" max="20" width="11.46484375" style="29" hidden="1" customWidth="1"/>
    <col min="21" max="21" width="7.53125" style="29" hidden="1" customWidth="1"/>
    <col min="22" max="22" width="12.265625" style="29" hidden="1" customWidth="1"/>
    <col min="23" max="26" width="8" style="29" hidden="1" customWidth="1"/>
    <col min="27" max="16384" width="12.53125" style="29" hidden="1"/>
  </cols>
  <sheetData>
    <row r="1" spans="1:12" ht="40.049999999999997" customHeight="1" x14ac:dyDescent="0.4">
      <c r="A1" s="57"/>
      <c r="B1" s="58"/>
      <c r="C1" s="59"/>
      <c r="D1" s="59"/>
      <c r="E1" s="60"/>
      <c r="F1" s="60"/>
      <c r="G1" s="60"/>
      <c r="H1" s="69"/>
      <c r="I1" s="60"/>
      <c r="J1" s="70"/>
      <c r="K1" s="69"/>
      <c r="L1" s="57"/>
    </row>
    <row r="2" spans="1:12" s="43" customFormat="1" ht="24" customHeight="1" x14ac:dyDescent="0.7">
      <c r="A2" s="71"/>
      <c r="B2" s="575" t="s">
        <v>0</v>
      </c>
      <c r="C2" s="576"/>
      <c r="D2" s="576"/>
      <c r="E2" s="576"/>
      <c r="F2" s="576"/>
      <c r="G2" s="576"/>
      <c r="H2" s="576"/>
      <c r="I2" s="576"/>
      <c r="J2" s="576"/>
      <c r="K2" s="576"/>
      <c r="L2" s="71"/>
    </row>
    <row r="3" spans="1:12" s="43" customFormat="1" ht="24" customHeight="1" x14ac:dyDescent="0.7">
      <c r="A3" s="71"/>
      <c r="B3" s="577" t="s">
        <v>1</v>
      </c>
      <c r="C3" s="576"/>
      <c r="D3" s="576"/>
      <c r="E3" s="576"/>
      <c r="F3" s="576"/>
      <c r="G3" s="576"/>
      <c r="H3" s="576"/>
      <c r="I3" s="576"/>
      <c r="J3" s="576"/>
      <c r="K3" s="576"/>
      <c r="L3" s="71"/>
    </row>
    <row r="4" spans="1:12" s="43" customFormat="1" ht="24" customHeight="1" x14ac:dyDescent="0.7">
      <c r="A4" s="71"/>
      <c r="B4" s="577" t="s">
        <v>6</v>
      </c>
      <c r="C4" s="576"/>
      <c r="D4" s="576"/>
      <c r="E4" s="576"/>
      <c r="F4" s="576"/>
      <c r="G4" s="576"/>
      <c r="H4" s="576"/>
      <c r="I4" s="576"/>
      <c r="J4" s="576"/>
      <c r="K4" s="576"/>
      <c r="L4" s="71"/>
    </row>
    <row r="5" spans="1:12" s="43" customFormat="1" ht="24" customHeight="1" x14ac:dyDescent="0.7">
      <c r="A5" s="71"/>
      <c r="B5" s="575" t="s">
        <v>2</v>
      </c>
      <c r="C5" s="576"/>
      <c r="D5" s="576"/>
      <c r="E5" s="576"/>
      <c r="F5" s="576"/>
      <c r="G5" s="576"/>
      <c r="H5" s="576"/>
      <c r="I5" s="576"/>
      <c r="J5" s="576"/>
      <c r="K5" s="576"/>
      <c r="L5" s="71"/>
    </row>
    <row r="6" spans="1:12" s="43" customFormat="1" ht="24" customHeight="1" x14ac:dyDescent="0.7">
      <c r="A6" s="71"/>
      <c r="B6" s="575" t="s">
        <v>86</v>
      </c>
      <c r="C6" s="576"/>
      <c r="D6" s="576"/>
      <c r="E6" s="576"/>
      <c r="F6" s="576"/>
      <c r="G6" s="576"/>
      <c r="H6" s="576"/>
      <c r="I6" s="576"/>
      <c r="J6" s="576"/>
      <c r="K6" s="576"/>
      <c r="L6" s="71"/>
    </row>
    <row r="7" spans="1:12" s="41" customFormat="1" ht="15.75" customHeight="1" x14ac:dyDescent="0.65">
      <c r="A7" s="72"/>
      <c r="B7" s="73"/>
      <c r="C7" s="74"/>
      <c r="D7" s="74"/>
      <c r="E7" s="75"/>
      <c r="F7" s="75"/>
      <c r="G7" s="75"/>
      <c r="H7" s="76"/>
      <c r="I7" s="578" t="s">
        <v>87</v>
      </c>
      <c r="J7" s="579"/>
      <c r="K7" s="579"/>
      <c r="L7" s="72"/>
    </row>
    <row r="8" spans="1:12" s="41" customFormat="1" ht="34.049999999999997" customHeight="1" x14ac:dyDescent="0.55000000000000004">
      <c r="A8" s="72"/>
      <c r="B8" s="573" t="s">
        <v>88</v>
      </c>
      <c r="C8" s="574"/>
      <c r="D8" s="574"/>
      <c r="E8" s="574"/>
      <c r="F8" s="574"/>
      <c r="G8" s="574"/>
      <c r="H8" s="574"/>
      <c r="I8" s="574"/>
      <c r="J8" s="574"/>
      <c r="K8" s="574"/>
      <c r="L8" s="72"/>
    </row>
    <row r="9" spans="1:12" ht="15.75" customHeight="1" x14ac:dyDescent="0.4">
      <c r="A9" s="77"/>
      <c r="B9" s="78"/>
      <c r="C9" s="79"/>
      <c r="D9" s="79"/>
      <c r="E9" s="61"/>
      <c r="F9" s="61"/>
      <c r="G9" s="61"/>
      <c r="H9" s="61"/>
      <c r="I9" s="61"/>
      <c r="J9" s="80"/>
      <c r="K9" s="61"/>
      <c r="L9" s="57"/>
    </row>
    <row r="10" spans="1:12" ht="28.5" customHeight="1" thickBot="1" x14ac:dyDescent="0.45">
      <c r="A10" s="77"/>
      <c r="B10" s="211" t="s">
        <v>141</v>
      </c>
      <c r="C10" s="547" t="str">
        <f>Input!C7</f>
        <v>Department of Agriculture Regional Field Office XIII</v>
      </c>
      <c r="D10" s="547"/>
      <c r="E10" s="547"/>
      <c r="F10" s="81"/>
      <c r="G10" s="82"/>
      <c r="H10" s="81"/>
      <c r="I10" s="81"/>
      <c r="J10" s="83"/>
      <c r="K10" s="81"/>
      <c r="L10" s="57"/>
    </row>
    <row r="11" spans="1:12" ht="21.5" customHeight="1" thickBot="1" x14ac:dyDescent="0.45">
      <c r="A11" s="77"/>
      <c r="B11" s="211" t="s">
        <v>157</v>
      </c>
      <c r="C11" s="559">
        <f>Input!C8</f>
        <v>1</v>
      </c>
      <c r="D11" s="559"/>
      <c r="E11" s="220"/>
      <c r="F11" s="81"/>
      <c r="G11" s="82"/>
      <c r="H11" s="81"/>
      <c r="I11" s="237" t="s">
        <v>142</v>
      </c>
      <c r="J11" s="562"/>
      <c r="K11" s="562"/>
      <c r="L11" s="57"/>
    </row>
    <row r="12" spans="1:12" ht="16.5" customHeight="1" thickBot="1" x14ac:dyDescent="0.45">
      <c r="A12" s="77"/>
      <c r="B12" s="78"/>
      <c r="C12" s="219"/>
      <c r="D12" s="219"/>
      <c r="E12" s="61"/>
      <c r="F12" s="61"/>
      <c r="G12" s="61"/>
      <c r="H12" s="61"/>
      <c r="I12" s="61"/>
      <c r="J12" s="80"/>
      <c r="K12" s="61"/>
      <c r="L12" s="57"/>
    </row>
    <row r="13" spans="1:12" s="41" customFormat="1" ht="20.55" customHeight="1" thickBot="1" x14ac:dyDescent="0.6">
      <c r="A13" s="72"/>
      <c r="B13" s="55" t="s">
        <v>89</v>
      </c>
      <c r="C13" s="550" t="str">
        <f>Input!C2</f>
        <v>James E. Rosales</v>
      </c>
      <c r="D13" s="551"/>
      <c r="E13" s="552"/>
      <c r="F13" s="49" t="s">
        <v>104</v>
      </c>
      <c r="G13" s="49"/>
      <c r="H13" s="560" t="str">
        <f>Input!C13</f>
        <v>Sept. 8-10, Sept. 15-17, and Sept. 22-24, 2026</v>
      </c>
      <c r="I13" s="560"/>
      <c r="J13" s="560"/>
      <c r="K13" s="561"/>
      <c r="L13" s="72"/>
    </row>
    <row r="14" spans="1:12" s="41" customFormat="1" ht="21.5" customHeight="1" thickBot="1" x14ac:dyDescent="0.6">
      <c r="A14" s="72"/>
      <c r="B14" s="56" t="s">
        <v>90</v>
      </c>
      <c r="C14" s="553" t="str">
        <f>Input!C4</f>
        <v>Information Systems Analyst II</v>
      </c>
      <c r="D14" s="554"/>
      <c r="E14" s="555"/>
      <c r="F14" s="50" t="s">
        <v>91</v>
      </c>
      <c r="G14" s="50"/>
      <c r="H14" s="548" t="s">
        <v>107</v>
      </c>
      <c r="I14" s="548"/>
      <c r="J14" s="548"/>
      <c r="K14" s="549"/>
      <c r="L14" s="72"/>
    </row>
    <row r="15" spans="1:12" s="41" customFormat="1" ht="24" customHeight="1" thickBot="1" x14ac:dyDescent="0.6">
      <c r="A15" s="72"/>
      <c r="B15" s="56" t="s">
        <v>92</v>
      </c>
      <c r="C15" s="556" t="str">
        <f>Input!C10</f>
        <v>Department of Agriculture Regional Field Office XIII</v>
      </c>
      <c r="D15" s="557"/>
      <c r="E15" s="558"/>
      <c r="F15" s="51"/>
      <c r="G15" s="51"/>
      <c r="H15" s="52"/>
      <c r="I15" s="51"/>
      <c r="J15" s="53"/>
      <c r="K15" s="54"/>
      <c r="L15" s="72"/>
    </row>
    <row r="16" spans="1:12" s="44" customFormat="1" ht="15" customHeight="1" thickBot="1" x14ac:dyDescent="0.5">
      <c r="A16" s="84"/>
      <c r="B16" s="563" t="s">
        <v>8</v>
      </c>
      <c r="C16" s="565" t="s">
        <v>93</v>
      </c>
      <c r="D16" s="566"/>
      <c r="E16" s="567" t="s">
        <v>94</v>
      </c>
      <c r="F16" s="568"/>
      <c r="G16" s="121" t="s">
        <v>95</v>
      </c>
      <c r="H16" s="569" t="s">
        <v>105</v>
      </c>
      <c r="I16" s="122" t="s">
        <v>96</v>
      </c>
      <c r="J16" s="571" t="s">
        <v>97</v>
      </c>
      <c r="K16" s="541" t="s">
        <v>9</v>
      </c>
      <c r="L16" s="84"/>
    </row>
    <row r="17" spans="1:26" s="42" customFormat="1" ht="20.25" customHeight="1" thickBot="1" x14ac:dyDescent="0.5">
      <c r="A17" s="85"/>
      <c r="B17" s="564"/>
      <c r="C17" s="543" t="s">
        <v>98</v>
      </c>
      <c r="D17" s="544"/>
      <c r="E17" s="123" t="s">
        <v>99</v>
      </c>
      <c r="F17" s="123" t="s">
        <v>100</v>
      </c>
      <c r="G17" s="124" t="s">
        <v>105</v>
      </c>
      <c r="H17" s="570"/>
      <c r="I17" s="125" t="s">
        <v>101</v>
      </c>
      <c r="J17" s="572"/>
      <c r="K17" s="542"/>
      <c r="L17" s="85"/>
    </row>
    <row r="18" spans="1:26" ht="48" customHeight="1" thickBot="1" x14ac:dyDescent="0.6">
      <c r="A18" s="86"/>
      <c r="B18" s="273" t="s">
        <v>115</v>
      </c>
      <c r="C18" s="545" t="s">
        <v>253</v>
      </c>
      <c r="D18" s="546"/>
      <c r="E18" s="278">
        <v>0.20833333333333334</v>
      </c>
      <c r="F18" s="279">
        <v>0.3125</v>
      </c>
      <c r="G18" s="280" t="s">
        <v>254</v>
      </c>
      <c r="H18" s="281"/>
      <c r="I18" s="282">
        <v>1050</v>
      </c>
      <c r="J18" s="281"/>
      <c r="K18" s="283">
        <f t="shared" ref="K18:K27" si="0">SUM(H18:J18)</f>
        <v>1050</v>
      </c>
      <c r="L18" s="86"/>
      <c r="M18" s="40"/>
      <c r="N18" s="35"/>
      <c r="O18" s="35"/>
      <c r="P18" s="35"/>
      <c r="Q18" s="35"/>
      <c r="R18" s="35"/>
      <c r="S18" s="35"/>
      <c r="T18" s="35"/>
      <c r="U18" s="35"/>
      <c r="V18" s="35"/>
      <c r="W18" s="35"/>
      <c r="X18" s="35"/>
      <c r="Y18" s="35"/>
      <c r="Z18" s="35"/>
    </row>
    <row r="19" spans="1:26" ht="48" customHeight="1" thickBot="1" x14ac:dyDescent="0.6">
      <c r="A19" s="87"/>
      <c r="B19" s="226" t="s">
        <v>116</v>
      </c>
      <c r="C19" s="537" t="s">
        <v>255</v>
      </c>
      <c r="D19" s="538"/>
      <c r="E19" s="206">
        <v>0.33333333333333331</v>
      </c>
      <c r="F19" s="206">
        <v>0.70833333333333337</v>
      </c>
      <c r="G19" s="210"/>
      <c r="H19" s="209"/>
      <c r="I19" s="209">
        <v>1050</v>
      </c>
      <c r="J19" s="209"/>
      <c r="K19" s="208">
        <f t="shared" si="0"/>
        <v>1050</v>
      </c>
      <c r="L19" s="87"/>
      <c r="M19" s="36"/>
      <c r="N19" s="36"/>
      <c r="O19" s="36"/>
      <c r="P19" s="36"/>
      <c r="Q19" s="36"/>
      <c r="R19" s="36"/>
      <c r="S19" s="36"/>
      <c r="T19" s="36"/>
      <c r="U19" s="36"/>
      <c r="V19" s="36"/>
      <c r="W19" s="36"/>
      <c r="X19" s="36"/>
      <c r="Y19" s="36"/>
      <c r="Z19" s="36"/>
    </row>
    <row r="20" spans="1:26" ht="61.45" customHeight="1" thickBot="1" x14ac:dyDescent="0.6">
      <c r="A20" s="87"/>
      <c r="B20" s="529" t="s">
        <v>117</v>
      </c>
      <c r="C20" s="535" t="s">
        <v>120</v>
      </c>
      <c r="D20" s="536"/>
      <c r="E20" s="47">
        <v>0.70833333333333337</v>
      </c>
      <c r="F20" s="47">
        <v>0.71875</v>
      </c>
      <c r="G20" s="46" t="s">
        <v>108</v>
      </c>
      <c r="H20" s="48">
        <v>50</v>
      </c>
      <c r="I20" s="48"/>
      <c r="J20" s="48"/>
      <c r="K20" s="45">
        <f t="shared" si="0"/>
        <v>50</v>
      </c>
      <c r="L20" s="87"/>
      <c r="M20" s="36"/>
      <c r="N20" s="36"/>
      <c r="O20" s="36"/>
      <c r="P20" s="36"/>
      <c r="Q20" s="36"/>
      <c r="R20" s="36"/>
      <c r="S20" s="36"/>
      <c r="T20" s="36"/>
      <c r="U20" s="36"/>
      <c r="V20" s="36"/>
      <c r="W20" s="36"/>
      <c r="X20" s="36"/>
      <c r="Y20" s="36"/>
      <c r="Z20" s="36"/>
    </row>
    <row r="21" spans="1:26" ht="48" customHeight="1" thickBot="1" x14ac:dyDescent="0.6">
      <c r="A21" s="88"/>
      <c r="B21" s="529"/>
      <c r="C21" s="537" t="s">
        <v>118</v>
      </c>
      <c r="D21" s="538"/>
      <c r="E21" s="206">
        <f>F20</f>
        <v>0.71875</v>
      </c>
      <c r="F21" s="206">
        <v>0.82291666666666663</v>
      </c>
      <c r="G21" s="207" t="s">
        <v>102</v>
      </c>
      <c r="H21" s="209">
        <v>280</v>
      </c>
      <c r="I21" s="209"/>
      <c r="J21" s="209"/>
      <c r="K21" s="208">
        <f t="shared" si="0"/>
        <v>280</v>
      </c>
      <c r="L21" s="87"/>
      <c r="M21" s="36"/>
      <c r="N21" s="36"/>
      <c r="O21" s="36"/>
      <c r="P21" s="36"/>
      <c r="Q21" s="36"/>
      <c r="R21" s="36"/>
      <c r="S21" s="36"/>
      <c r="T21" s="36"/>
      <c r="U21" s="36"/>
      <c r="V21" s="36"/>
      <c r="W21" s="36"/>
      <c r="X21" s="36"/>
      <c r="Y21" s="36"/>
      <c r="Z21" s="36"/>
    </row>
    <row r="22" spans="1:26" ht="24" customHeight="1" thickBot="1" x14ac:dyDescent="0.6">
      <c r="A22" s="88"/>
      <c r="B22" s="529"/>
      <c r="C22" s="535" t="s">
        <v>119</v>
      </c>
      <c r="D22" s="536"/>
      <c r="E22" s="47">
        <f>F21</f>
        <v>0.82291666666666663</v>
      </c>
      <c r="F22" s="47">
        <v>0.83333333333333337</v>
      </c>
      <c r="G22" s="46" t="s">
        <v>108</v>
      </c>
      <c r="H22" s="48">
        <v>30</v>
      </c>
      <c r="I22" s="48">
        <v>450</v>
      </c>
      <c r="J22" s="48"/>
      <c r="K22" s="45">
        <f t="shared" si="0"/>
        <v>480</v>
      </c>
      <c r="L22" s="87"/>
      <c r="M22" s="36"/>
      <c r="N22" s="36"/>
      <c r="O22" s="36"/>
      <c r="P22" s="36"/>
      <c r="Q22" s="36"/>
      <c r="R22" s="36"/>
      <c r="S22" s="36"/>
      <c r="T22" s="36"/>
      <c r="U22" s="36"/>
      <c r="V22" s="36"/>
      <c r="W22" s="36"/>
      <c r="X22" s="36"/>
      <c r="Y22" s="36"/>
      <c r="Z22" s="36"/>
    </row>
    <row r="23" spans="1:26" ht="61.5" customHeight="1" thickBot="1" x14ac:dyDescent="0.6">
      <c r="A23" s="87"/>
      <c r="B23" s="271" t="s">
        <v>242</v>
      </c>
      <c r="C23" s="537" t="s">
        <v>241</v>
      </c>
      <c r="D23" s="538"/>
      <c r="E23" s="206">
        <v>0.20833333333333334</v>
      </c>
      <c r="F23" s="206">
        <v>0.41666666666666669</v>
      </c>
      <c r="G23" s="207" t="s">
        <v>254</v>
      </c>
      <c r="H23" s="209"/>
      <c r="I23" s="209">
        <v>450</v>
      </c>
      <c r="J23" s="209"/>
      <c r="K23" s="208">
        <f t="shared" si="0"/>
        <v>450</v>
      </c>
      <c r="L23" s="87"/>
      <c r="M23" s="36"/>
      <c r="N23" s="36"/>
      <c r="O23" s="36"/>
      <c r="P23" s="36"/>
      <c r="Q23" s="36"/>
      <c r="R23" s="36"/>
      <c r="S23" s="36"/>
      <c r="T23" s="36"/>
      <c r="U23" s="36"/>
      <c r="V23" s="36"/>
      <c r="W23" s="36"/>
      <c r="X23" s="36"/>
      <c r="Y23" s="36"/>
      <c r="Z23" s="36"/>
    </row>
    <row r="24" spans="1:26" ht="61.5" customHeight="1" thickBot="1" x14ac:dyDescent="0.6">
      <c r="A24" s="86"/>
      <c r="B24" s="272" t="s">
        <v>243</v>
      </c>
      <c r="C24" s="535" t="s">
        <v>245</v>
      </c>
      <c r="D24" s="536"/>
      <c r="E24" s="47">
        <v>0.33333333333333331</v>
      </c>
      <c r="F24" s="47">
        <v>0.70833333333333337</v>
      </c>
      <c r="G24" s="89"/>
      <c r="H24" s="45"/>
      <c r="I24" s="45">
        <v>300</v>
      </c>
      <c r="J24" s="45"/>
      <c r="K24" s="45">
        <f t="shared" si="0"/>
        <v>300</v>
      </c>
      <c r="L24" s="86"/>
      <c r="M24" s="35"/>
      <c r="N24" s="35"/>
      <c r="O24" s="35"/>
      <c r="P24" s="35"/>
      <c r="Q24" s="35"/>
      <c r="R24" s="35"/>
      <c r="S24" s="35"/>
      <c r="T24" s="35"/>
      <c r="U24" s="35"/>
      <c r="V24" s="35"/>
      <c r="W24" s="35"/>
      <c r="X24" s="35"/>
      <c r="Y24" s="35"/>
      <c r="Z24" s="35"/>
    </row>
    <row r="25" spans="1:26" ht="61.5" customHeight="1" thickBot="1" x14ac:dyDescent="0.6">
      <c r="A25" s="86"/>
      <c r="B25" s="272" t="s">
        <v>244</v>
      </c>
      <c r="C25" s="537" t="s">
        <v>246</v>
      </c>
      <c r="D25" s="538"/>
      <c r="E25" s="206">
        <f>F24</f>
        <v>0.70833333333333337</v>
      </c>
      <c r="F25" s="206">
        <v>0.91666666666666663</v>
      </c>
      <c r="G25" s="210" t="s">
        <v>254</v>
      </c>
      <c r="H25" s="208"/>
      <c r="I25" s="208">
        <v>450</v>
      </c>
      <c r="J25" s="208"/>
      <c r="K25" s="208">
        <f t="shared" si="0"/>
        <v>450</v>
      </c>
      <c r="L25" s="86"/>
      <c r="M25" s="35"/>
      <c r="N25" s="35"/>
      <c r="O25" s="35"/>
      <c r="P25" s="35"/>
      <c r="Q25" s="35"/>
      <c r="R25" s="35"/>
      <c r="S25" s="35"/>
      <c r="T25" s="35"/>
      <c r="U25" s="35"/>
      <c r="V25" s="35"/>
      <c r="W25" s="35"/>
      <c r="X25" s="35"/>
      <c r="Y25" s="35"/>
      <c r="Z25" s="35"/>
    </row>
    <row r="26" spans="1:26" ht="48" customHeight="1" thickBot="1" x14ac:dyDescent="0.6">
      <c r="A26" s="86"/>
      <c r="B26" s="272" t="s">
        <v>248</v>
      </c>
      <c r="C26" s="535" t="s">
        <v>247</v>
      </c>
      <c r="D26" s="536"/>
      <c r="E26" s="47">
        <v>0.33333333333333331</v>
      </c>
      <c r="F26" s="47">
        <v>0.41666666666666669</v>
      </c>
      <c r="G26" s="89" t="s">
        <v>254</v>
      </c>
      <c r="H26" s="45"/>
      <c r="I26" s="45">
        <v>300</v>
      </c>
      <c r="J26" s="45"/>
      <c r="K26" s="45">
        <f t="shared" si="0"/>
        <v>300</v>
      </c>
      <c r="L26" s="86"/>
      <c r="M26" s="35"/>
      <c r="N26" s="35"/>
      <c r="O26" s="35"/>
      <c r="P26" s="35"/>
      <c r="Q26" s="35"/>
      <c r="R26" s="35"/>
      <c r="S26" s="35"/>
      <c r="T26" s="35"/>
      <c r="U26" s="35"/>
      <c r="V26" s="35"/>
      <c r="W26" s="35"/>
      <c r="X26" s="35"/>
      <c r="Y26" s="35"/>
      <c r="Z26" s="35"/>
    </row>
    <row r="27" spans="1:26" s="37" customFormat="1" ht="48" customHeight="1" thickBot="1" x14ac:dyDescent="0.6">
      <c r="A27" s="77"/>
      <c r="B27" s="272" t="s">
        <v>251</v>
      </c>
      <c r="C27" s="537" t="s">
        <v>249</v>
      </c>
      <c r="D27" s="538"/>
      <c r="E27" s="206">
        <v>0.33333333333333331</v>
      </c>
      <c r="F27" s="206">
        <v>0.70833333333333337</v>
      </c>
      <c r="G27" s="210"/>
      <c r="H27" s="208"/>
      <c r="I27" s="208">
        <v>300</v>
      </c>
      <c r="J27" s="208"/>
      <c r="K27" s="208">
        <f t="shared" si="0"/>
        <v>300</v>
      </c>
      <c r="L27" s="77"/>
    </row>
    <row r="28" spans="1:26" s="37" customFormat="1" ht="48" customHeight="1" thickBot="1" x14ac:dyDescent="0.6">
      <c r="A28" s="77"/>
      <c r="B28" s="272" t="s">
        <v>252</v>
      </c>
      <c r="C28" s="535" t="s">
        <v>250</v>
      </c>
      <c r="D28" s="536"/>
      <c r="E28" s="47">
        <f>F26</f>
        <v>0.41666666666666669</v>
      </c>
      <c r="F28" s="47">
        <v>0.79166666666666663</v>
      </c>
      <c r="G28" s="46" t="s">
        <v>254</v>
      </c>
      <c r="H28" s="45"/>
      <c r="I28" s="45">
        <v>450</v>
      </c>
      <c r="J28" s="45"/>
      <c r="K28" s="45">
        <f t="shared" ref="K28" si="1">SUM(H28:J28)</f>
        <v>450</v>
      </c>
      <c r="L28" s="77"/>
    </row>
    <row r="29" spans="1:26" s="37" customFormat="1" ht="48" customHeight="1" thickBot="1" x14ac:dyDescent="0.6">
      <c r="A29" s="77"/>
      <c r="B29" s="272"/>
      <c r="C29" s="274"/>
      <c r="D29" s="286"/>
      <c r="E29" s="206"/>
      <c r="F29" s="206"/>
      <c r="G29" s="207"/>
      <c r="H29" s="208"/>
      <c r="I29" s="208"/>
      <c r="J29" s="208"/>
      <c r="K29" s="208"/>
      <c r="L29" s="77"/>
    </row>
    <row r="30" spans="1:26" s="37" customFormat="1" ht="48" customHeight="1" thickBot="1" x14ac:dyDescent="0.5">
      <c r="A30" s="77"/>
      <c r="B30" s="272"/>
      <c r="C30" s="531"/>
      <c r="D30" s="532"/>
      <c r="E30" s="47"/>
      <c r="F30" s="47"/>
      <c r="G30" s="46"/>
      <c r="H30" s="45"/>
      <c r="I30" s="45"/>
      <c r="J30" s="45"/>
      <c r="K30" s="45"/>
      <c r="L30" s="77"/>
    </row>
    <row r="31" spans="1:26" s="37" customFormat="1" ht="48" customHeight="1" thickBot="1" x14ac:dyDescent="0.6">
      <c r="A31" s="77"/>
      <c r="B31" s="272"/>
      <c r="C31" s="274"/>
      <c r="D31" s="286"/>
      <c r="E31" s="206"/>
      <c r="F31" s="206"/>
      <c r="G31" s="207"/>
      <c r="H31" s="208"/>
      <c r="I31" s="208"/>
      <c r="J31" s="208"/>
      <c r="K31" s="208"/>
      <c r="L31" s="77"/>
    </row>
    <row r="32" spans="1:26" s="37" customFormat="1" ht="48" customHeight="1" thickBot="1" x14ac:dyDescent="0.5">
      <c r="A32" s="77"/>
      <c r="B32" s="272"/>
      <c r="C32" s="531"/>
      <c r="D32" s="532"/>
      <c r="E32" s="47"/>
      <c r="F32" s="47"/>
      <c r="G32" s="46"/>
      <c r="H32" s="45"/>
      <c r="I32" s="45"/>
      <c r="J32" s="45"/>
      <c r="K32" s="45"/>
      <c r="L32" s="77"/>
    </row>
    <row r="33" spans="1:26" s="37" customFormat="1" ht="48" customHeight="1" thickBot="1" x14ac:dyDescent="0.5">
      <c r="A33" s="77"/>
      <c r="B33" s="271"/>
      <c r="C33" s="539"/>
      <c r="D33" s="540"/>
      <c r="E33" s="206"/>
      <c r="F33" s="206"/>
      <c r="G33" s="207"/>
      <c r="H33" s="208"/>
      <c r="I33" s="208"/>
      <c r="J33" s="208"/>
      <c r="K33" s="208"/>
      <c r="L33" s="77"/>
    </row>
    <row r="34" spans="1:26" s="37" customFormat="1" ht="48" customHeight="1" thickBot="1" x14ac:dyDescent="0.5">
      <c r="A34" s="77"/>
      <c r="B34" s="271"/>
      <c r="C34" s="531"/>
      <c r="D34" s="532"/>
      <c r="E34" s="47"/>
      <c r="F34" s="47"/>
      <c r="G34" s="46"/>
      <c r="H34" s="45"/>
      <c r="I34" s="45"/>
      <c r="J34" s="45"/>
      <c r="K34" s="45"/>
      <c r="L34" s="77"/>
    </row>
    <row r="35" spans="1:26" s="37" customFormat="1" ht="48" customHeight="1" thickBot="1" x14ac:dyDescent="0.6">
      <c r="A35" s="77"/>
      <c r="B35" s="271"/>
      <c r="C35" s="537"/>
      <c r="D35" s="538"/>
      <c r="E35" s="206"/>
      <c r="F35" s="206"/>
      <c r="G35" s="207"/>
      <c r="H35" s="208"/>
      <c r="I35" s="208"/>
      <c r="J35" s="208"/>
      <c r="K35" s="208"/>
      <c r="L35" s="77"/>
    </row>
    <row r="36" spans="1:26" ht="30" customHeight="1" thickBot="1" x14ac:dyDescent="0.45">
      <c r="A36" s="86"/>
      <c r="B36" s="530" t="s">
        <v>103</v>
      </c>
      <c r="C36" s="530"/>
      <c r="D36" s="530"/>
      <c r="E36" s="530"/>
      <c r="F36" s="530"/>
      <c r="G36" s="530"/>
      <c r="H36" s="90">
        <f>SUM(H18:H35)</f>
        <v>360</v>
      </c>
      <c r="I36" s="90">
        <f>SUM(I18:I35)</f>
        <v>4800</v>
      </c>
      <c r="J36" s="90">
        <f>SUM(J18:J35)</f>
        <v>0</v>
      </c>
      <c r="K36" s="90">
        <f>SUM(H36:J36)</f>
        <v>5160</v>
      </c>
      <c r="L36" s="86"/>
      <c r="M36" s="35"/>
      <c r="N36" s="35"/>
      <c r="O36" s="35"/>
      <c r="P36" s="35"/>
      <c r="Q36" s="35"/>
      <c r="R36" s="35"/>
      <c r="S36" s="35"/>
      <c r="T36" s="35"/>
      <c r="U36" s="35"/>
      <c r="V36" s="35"/>
      <c r="W36" s="35"/>
      <c r="X36" s="35"/>
      <c r="Y36" s="35"/>
      <c r="Z36" s="35"/>
    </row>
    <row r="37" spans="1:26" ht="30" customHeight="1" thickBot="1" x14ac:dyDescent="0.5">
      <c r="A37" s="57"/>
      <c r="B37" s="92"/>
      <c r="C37" s="93"/>
      <c r="D37" s="93"/>
      <c r="E37" s="94"/>
      <c r="F37" s="95"/>
      <c r="G37" s="94"/>
      <c r="H37" s="96"/>
      <c r="I37" s="97"/>
      <c r="J37" s="533"/>
      <c r="K37" s="534"/>
      <c r="L37" s="57"/>
      <c r="O37" s="34"/>
    </row>
    <row r="38" spans="1:26" ht="14.25" customHeight="1" x14ac:dyDescent="0.45">
      <c r="A38" s="57"/>
      <c r="B38" s="523" t="s">
        <v>154</v>
      </c>
      <c r="C38" s="524"/>
      <c r="D38" s="524"/>
      <c r="E38" s="525"/>
      <c r="F38" s="116" t="s">
        <v>207</v>
      </c>
      <c r="G38" s="98"/>
      <c r="H38" s="117"/>
      <c r="I38" s="118"/>
      <c r="J38" s="119"/>
      <c r="K38" s="120"/>
      <c r="L38" s="57"/>
    </row>
    <row r="39" spans="1:26" ht="14.25" customHeight="1" x14ac:dyDescent="0.45">
      <c r="A39" s="57"/>
      <c r="B39" s="526"/>
      <c r="C39" s="527"/>
      <c r="D39" s="527"/>
      <c r="E39" s="528"/>
      <c r="F39" s="63"/>
      <c r="G39" s="95"/>
      <c r="H39" s="99"/>
      <c r="I39" s="100"/>
      <c r="J39" s="101"/>
      <c r="K39" s="102"/>
      <c r="L39" s="57"/>
    </row>
    <row r="40" spans="1:26" ht="14.25" customHeight="1" x14ac:dyDescent="0.4">
      <c r="A40" s="57"/>
      <c r="B40" s="526"/>
      <c r="C40" s="527"/>
      <c r="D40" s="527"/>
      <c r="E40" s="528"/>
      <c r="F40" s="512"/>
      <c r="G40" s="513"/>
      <c r="H40" s="513"/>
      <c r="I40" s="513"/>
      <c r="J40" s="513"/>
      <c r="K40" s="514"/>
      <c r="L40" s="57"/>
    </row>
    <row r="41" spans="1:26" ht="15.75" customHeight="1" x14ac:dyDescent="0.55000000000000004">
      <c r="A41" s="57"/>
      <c r="B41" s="526"/>
      <c r="C41" s="527"/>
      <c r="D41" s="527"/>
      <c r="E41" s="528"/>
      <c r="F41" s="515" t="str">
        <f>UPPER(Input!C2)</f>
        <v>JAMES E. ROSALES</v>
      </c>
      <c r="G41" s="516"/>
      <c r="H41" s="516"/>
      <c r="I41" s="516"/>
      <c r="J41" s="516"/>
      <c r="K41" s="517"/>
      <c r="L41" s="57"/>
    </row>
    <row r="42" spans="1:26" ht="23" customHeight="1" thickBot="1" x14ac:dyDescent="0.45">
      <c r="A42" s="57"/>
      <c r="B42" s="526"/>
      <c r="C42" s="527"/>
      <c r="D42" s="527"/>
      <c r="E42" s="528"/>
      <c r="F42" s="518" t="str">
        <f>Input!C4</f>
        <v>Information Systems Analyst II</v>
      </c>
      <c r="G42" s="519"/>
      <c r="H42" s="519"/>
      <c r="I42" s="519"/>
      <c r="J42" s="519"/>
      <c r="K42" s="520"/>
      <c r="L42" s="57"/>
    </row>
    <row r="43" spans="1:26" ht="15.75" customHeight="1" x14ac:dyDescent="0.45">
      <c r="A43" s="57"/>
      <c r="B43" s="103"/>
      <c r="C43" s="104"/>
      <c r="D43" s="104"/>
      <c r="E43" s="91"/>
      <c r="F43" s="62" t="s">
        <v>208</v>
      </c>
      <c r="G43" s="64"/>
      <c r="H43" s="65"/>
      <c r="I43" s="66"/>
      <c r="J43" s="67"/>
      <c r="K43" s="105"/>
      <c r="L43" s="57"/>
    </row>
    <row r="44" spans="1:26" ht="15.75" customHeight="1" x14ac:dyDescent="0.45">
      <c r="A44" s="57"/>
      <c r="B44" s="103"/>
      <c r="C44" s="104"/>
      <c r="D44" s="104"/>
      <c r="E44" s="91"/>
      <c r="F44" s="63"/>
      <c r="G44" s="95"/>
      <c r="H44" s="99"/>
      <c r="I44" s="100"/>
      <c r="J44" s="101"/>
      <c r="K44" s="102"/>
      <c r="L44" s="57"/>
    </row>
    <row r="45" spans="1:26" ht="26" customHeight="1" x14ac:dyDescent="0.45">
      <c r="A45" s="57"/>
      <c r="B45" s="103"/>
      <c r="C45" s="104"/>
      <c r="D45" s="104"/>
      <c r="E45" s="91"/>
      <c r="F45" s="68"/>
      <c r="G45" s="94"/>
      <c r="H45" s="99"/>
      <c r="I45" s="100"/>
      <c r="J45" s="101"/>
      <c r="K45" s="102"/>
      <c r="L45" s="57"/>
    </row>
    <row r="46" spans="1:26" ht="15.75" customHeight="1" x14ac:dyDescent="0.55000000000000004">
      <c r="A46" s="57"/>
      <c r="B46" s="521" t="str">
        <f>UPPER(Input!C16)</f>
        <v>MELODY M. GUIMARY</v>
      </c>
      <c r="C46" s="516"/>
      <c r="D46" s="516"/>
      <c r="E46" s="522"/>
      <c r="F46" s="515" t="str">
        <f>UPPER(Input!C17)</f>
        <v>REBECCA R. ATEGA</v>
      </c>
      <c r="G46" s="516"/>
      <c r="H46" s="516"/>
      <c r="I46" s="516"/>
      <c r="J46" s="516"/>
      <c r="K46" s="517"/>
      <c r="L46" s="57"/>
    </row>
    <row r="47" spans="1:26" ht="15.75" customHeight="1" x14ac:dyDescent="0.55000000000000004">
      <c r="A47" s="57"/>
      <c r="B47" s="506" t="s">
        <v>140</v>
      </c>
      <c r="C47" s="507"/>
      <c r="D47" s="507"/>
      <c r="E47" s="508"/>
      <c r="F47" s="509" t="s">
        <v>106</v>
      </c>
      <c r="G47" s="510"/>
      <c r="H47" s="510"/>
      <c r="I47" s="510"/>
      <c r="J47" s="510"/>
      <c r="K47" s="511"/>
      <c r="L47" s="57"/>
    </row>
    <row r="48" spans="1:26" ht="16.5" customHeight="1" thickBot="1" x14ac:dyDescent="0.5">
      <c r="A48" s="57"/>
      <c r="B48" s="106"/>
      <c r="C48" s="107"/>
      <c r="D48" s="108"/>
      <c r="E48" s="109"/>
      <c r="F48" s="110"/>
      <c r="G48" s="111"/>
      <c r="H48" s="112"/>
      <c r="I48" s="113"/>
      <c r="J48" s="114"/>
      <c r="K48" s="115"/>
      <c r="L48" s="57"/>
    </row>
    <row r="49" spans="1:12" ht="15.75" customHeight="1" x14ac:dyDescent="0.4">
      <c r="A49" s="57"/>
      <c r="B49" s="58"/>
      <c r="C49" s="59"/>
      <c r="D49" s="59"/>
      <c r="E49" s="60"/>
      <c r="F49" s="60"/>
      <c r="G49" s="60"/>
      <c r="H49" s="69"/>
      <c r="I49" s="60"/>
      <c r="J49" s="70"/>
      <c r="K49" s="69"/>
      <c r="L49" s="57"/>
    </row>
    <row r="50" spans="1:12" ht="15.75" customHeight="1" x14ac:dyDescent="0.4">
      <c r="A50" s="57"/>
      <c r="B50" s="58"/>
      <c r="C50" s="59"/>
      <c r="D50" s="59"/>
      <c r="E50" s="60"/>
      <c r="F50" s="60"/>
      <c r="G50" s="60"/>
      <c r="H50" s="69"/>
      <c r="I50" s="60"/>
      <c r="J50" s="70"/>
      <c r="K50" s="69"/>
      <c r="L50" s="57"/>
    </row>
    <row r="51" spans="1:12" ht="15.75" customHeight="1" x14ac:dyDescent="0.4">
      <c r="B51" s="30"/>
      <c r="C51" s="31"/>
      <c r="D51" s="31"/>
      <c r="E51" s="32"/>
      <c r="F51" s="32"/>
      <c r="G51" s="32"/>
      <c r="H51" s="33"/>
      <c r="I51" s="32"/>
      <c r="J51" s="38"/>
      <c r="K51" s="33"/>
    </row>
    <row r="52" spans="1:12" ht="15.75" customHeight="1" x14ac:dyDescent="0.4">
      <c r="B52" s="30"/>
      <c r="C52" s="31"/>
      <c r="D52" s="31"/>
      <c r="E52" s="32"/>
      <c r="F52" s="32"/>
      <c r="G52" s="32"/>
      <c r="H52" s="33"/>
      <c r="I52" s="32"/>
      <c r="J52" s="38"/>
      <c r="K52" s="33"/>
    </row>
    <row r="53" spans="1:12" ht="15.75" customHeight="1" x14ac:dyDescent="0.4">
      <c r="B53" s="30"/>
      <c r="C53" s="31"/>
      <c r="D53" s="31"/>
      <c r="E53" s="32"/>
      <c r="F53" s="32"/>
      <c r="G53" s="32"/>
      <c r="H53" s="33"/>
      <c r="I53" s="32"/>
      <c r="J53" s="38"/>
      <c r="K53" s="33"/>
    </row>
    <row r="54" spans="1:12" ht="15.75" customHeight="1" x14ac:dyDescent="0.4">
      <c r="B54" s="30"/>
      <c r="C54" s="31"/>
      <c r="D54" s="31"/>
      <c r="E54" s="32"/>
      <c r="F54" s="32"/>
      <c r="G54" s="32"/>
      <c r="H54" s="33"/>
      <c r="I54" s="32"/>
      <c r="J54" s="38"/>
      <c r="K54" s="33"/>
    </row>
    <row r="55" spans="1:12" ht="15.75" customHeight="1" x14ac:dyDescent="0.4">
      <c r="B55" s="30"/>
      <c r="C55" s="31"/>
      <c r="D55" s="31"/>
      <c r="E55" s="32"/>
      <c r="F55" s="32"/>
      <c r="G55" s="32"/>
      <c r="H55" s="33"/>
      <c r="I55" s="32"/>
      <c r="J55" s="38"/>
      <c r="K55" s="33"/>
    </row>
    <row r="56" spans="1:12" ht="15.75" customHeight="1" x14ac:dyDescent="0.4">
      <c r="B56" s="30"/>
      <c r="C56" s="31"/>
      <c r="D56" s="31"/>
      <c r="E56" s="32"/>
      <c r="F56" s="32"/>
      <c r="G56" s="32"/>
      <c r="H56" s="33"/>
      <c r="I56" s="32"/>
      <c r="J56" s="38"/>
      <c r="K56" s="33"/>
    </row>
    <row r="57" spans="1:12" ht="15.75" customHeight="1" x14ac:dyDescent="0.4">
      <c r="B57" s="30"/>
      <c r="C57" s="31"/>
      <c r="D57" s="31"/>
      <c r="E57" s="32"/>
      <c r="F57" s="32"/>
      <c r="G57" s="32"/>
      <c r="H57" s="33"/>
      <c r="I57" s="32"/>
      <c r="J57" s="38"/>
      <c r="K57" s="33"/>
    </row>
    <row r="58" spans="1:12" ht="15.75" customHeight="1" x14ac:dyDescent="0.4">
      <c r="B58" s="30"/>
      <c r="C58" s="31"/>
      <c r="D58" s="31"/>
      <c r="E58" s="32"/>
      <c r="F58" s="32"/>
      <c r="G58" s="32"/>
      <c r="H58" s="33"/>
      <c r="I58" s="32"/>
      <c r="J58" s="38"/>
      <c r="K58" s="33"/>
    </row>
    <row r="59" spans="1:12" ht="15.75" customHeight="1" x14ac:dyDescent="0.4">
      <c r="B59" s="30"/>
      <c r="C59" s="31"/>
      <c r="D59" s="31"/>
      <c r="E59" s="32"/>
      <c r="F59" s="32"/>
      <c r="G59" s="32"/>
      <c r="H59" s="33"/>
      <c r="I59" s="32"/>
      <c r="J59" s="38"/>
      <c r="K59" s="33"/>
    </row>
    <row r="60" spans="1:12" ht="15.75" customHeight="1" x14ac:dyDescent="0.4">
      <c r="B60" s="30"/>
      <c r="C60" s="31"/>
      <c r="D60" s="31"/>
      <c r="E60" s="32"/>
      <c r="F60" s="32"/>
      <c r="G60" s="32"/>
      <c r="H60" s="33"/>
      <c r="I60" s="32"/>
      <c r="J60" s="38"/>
      <c r="K60" s="33"/>
    </row>
    <row r="61" spans="1:12" ht="15.75" customHeight="1" x14ac:dyDescent="0.4">
      <c r="B61" s="30"/>
      <c r="C61" s="31"/>
      <c r="D61" s="31"/>
      <c r="E61" s="32"/>
      <c r="F61" s="32"/>
      <c r="G61" s="32"/>
      <c r="H61" s="33"/>
      <c r="I61" s="32"/>
      <c r="J61" s="38"/>
      <c r="K61" s="33"/>
    </row>
    <row r="62" spans="1:12" ht="15.75" customHeight="1" x14ac:dyDescent="0.4">
      <c r="B62" s="30"/>
      <c r="C62" s="31"/>
      <c r="D62" s="31"/>
      <c r="E62" s="32"/>
      <c r="F62" s="32"/>
      <c r="G62" s="32"/>
      <c r="H62" s="33"/>
      <c r="I62" s="32"/>
      <c r="J62" s="38"/>
      <c r="K62" s="33"/>
    </row>
    <row r="63" spans="1:12" ht="15.75" customHeight="1" x14ac:dyDescent="0.4">
      <c r="B63" s="30"/>
      <c r="C63" s="31"/>
      <c r="D63" s="31"/>
      <c r="E63" s="32"/>
      <c r="F63" s="32"/>
      <c r="G63" s="32"/>
      <c r="H63" s="33"/>
      <c r="I63" s="32"/>
      <c r="J63" s="38"/>
      <c r="K63" s="33"/>
    </row>
    <row r="64" spans="1:12" ht="15.75" customHeight="1" x14ac:dyDescent="0.4">
      <c r="B64" s="30"/>
      <c r="C64" s="31"/>
      <c r="D64" s="31"/>
      <c r="E64" s="32"/>
      <c r="F64" s="32"/>
      <c r="G64" s="32"/>
      <c r="H64" s="33"/>
      <c r="I64" s="32"/>
      <c r="J64" s="38"/>
      <c r="K64" s="33"/>
    </row>
    <row r="65" spans="2:11" ht="15.75" customHeight="1" x14ac:dyDescent="0.4">
      <c r="B65" s="30"/>
      <c r="C65" s="31"/>
      <c r="D65" s="31"/>
      <c r="E65" s="32"/>
      <c r="F65" s="32"/>
      <c r="G65" s="32"/>
      <c r="H65" s="33"/>
      <c r="I65" s="32"/>
      <c r="J65" s="38"/>
      <c r="K65" s="33"/>
    </row>
    <row r="66" spans="2:11" ht="15.75" customHeight="1" x14ac:dyDescent="0.4">
      <c r="B66" s="30"/>
      <c r="C66" s="31"/>
      <c r="D66" s="31"/>
      <c r="E66" s="32"/>
      <c r="F66" s="32"/>
      <c r="G66" s="32"/>
      <c r="H66" s="33"/>
      <c r="I66" s="32"/>
      <c r="J66" s="38"/>
      <c r="K66" s="33"/>
    </row>
    <row r="67" spans="2:11" ht="15.75" customHeight="1" x14ac:dyDescent="0.4">
      <c r="B67" s="30"/>
      <c r="C67" s="31"/>
      <c r="D67" s="31"/>
      <c r="E67" s="32"/>
      <c r="F67" s="32"/>
      <c r="G67" s="32"/>
      <c r="H67" s="33"/>
      <c r="I67" s="32"/>
      <c r="J67" s="38"/>
      <c r="K67" s="33"/>
    </row>
    <row r="68" spans="2:11" ht="15.75" customHeight="1" x14ac:dyDescent="0.4">
      <c r="B68" s="30"/>
      <c r="C68" s="31"/>
      <c r="D68" s="31"/>
      <c r="E68" s="32"/>
      <c r="F68" s="32"/>
      <c r="G68" s="32"/>
      <c r="H68" s="33"/>
      <c r="I68" s="32"/>
      <c r="J68" s="38"/>
      <c r="K68" s="33"/>
    </row>
    <row r="69" spans="2:11" ht="15.75" customHeight="1" x14ac:dyDescent="0.4">
      <c r="B69" s="30"/>
      <c r="C69" s="31"/>
      <c r="D69" s="31"/>
      <c r="E69" s="32"/>
      <c r="F69" s="32"/>
      <c r="G69" s="32"/>
      <c r="H69" s="33"/>
      <c r="I69" s="32"/>
      <c r="J69" s="38"/>
      <c r="K69" s="33"/>
    </row>
    <row r="70" spans="2:11" ht="15.75" customHeight="1" x14ac:dyDescent="0.4">
      <c r="B70" s="30"/>
      <c r="C70" s="31"/>
      <c r="D70" s="31"/>
      <c r="E70" s="32"/>
      <c r="F70" s="32"/>
      <c r="G70" s="32"/>
      <c r="H70" s="33"/>
      <c r="I70" s="32"/>
      <c r="J70" s="38"/>
      <c r="K70" s="33"/>
    </row>
    <row r="71" spans="2:11" ht="15.75" customHeight="1" x14ac:dyDescent="0.4">
      <c r="B71" s="30"/>
      <c r="C71" s="31"/>
      <c r="D71" s="31"/>
      <c r="E71" s="32"/>
      <c r="F71" s="32"/>
      <c r="G71" s="32"/>
      <c r="H71" s="33"/>
      <c r="I71" s="32"/>
      <c r="J71" s="38"/>
      <c r="K71" s="33"/>
    </row>
    <row r="72" spans="2:11" ht="15.75" customHeight="1" x14ac:dyDescent="0.4">
      <c r="B72" s="30"/>
      <c r="C72" s="31"/>
      <c r="D72" s="31"/>
      <c r="E72" s="32"/>
      <c r="F72" s="32"/>
      <c r="G72" s="32"/>
      <c r="H72" s="33"/>
      <c r="I72" s="32"/>
      <c r="J72" s="38"/>
      <c r="K72" s="33"/>
    </row>
    <row r="73" spans="2:11" ht="15.75" customHeight="1" x14ac:dyDescent="0.4">
      <c r="B73" s="30"/>
      <c r="C73" s="31"/>
      <c r="D73" s="31"/>
      <c r="E73" s="32"/>
      <c r="F73" s="32"/>
      <c r="G73" s="32"/>
      <c r="H73" s="33"/>
      <c r="I73" s="32"/>
      <c r="J73" s="38"/>
      <c r="K73" s="33"/>
    </row>
    <row r="74" spans="2:11" ht="15.75" customHeight="1" x14ac:dyDescent="0.4">
      <c r="B74" s="30"/>
      <c r="C74" s="31"/>
      <c r="D74" s="31"/>
      <c r="E74" s="32"/>
      <c r="F74" s="32"/>
      <c r="G74" s="32"/>
      <c r="H74" s="33"/>
      <c r="I74" s="32"/>
      <c r="J74" s="38"/>
      <c r="K74" s="33"/>
    </row>
    <row r="75" spans="2:11" ht="15.75" customHeight="1" x14ac:dyDescent="0.4">
      <c r="B75" s="30"/>
      <c r="C75" s="31"/>
      <c r="D75" s="31"/>
      <c r="E75" s="32"/>
      <c r="F75" s="32"/>
      <c r="G75" s="32"/>
      <c r="H75" s="33"/>
      <c r="I75" s="32"/>
      <c r="J75" s="38"/>
      <c r="K75" s="33"/>
    </row>
    <row r="76" spans="2:11" ht="15.75" customHeight="1" x14ac:dyDescent="0.4">
      <c r="B76" s="30"/>
      <c r="C76" s="31"/>
      <c r="D76" s="31"/>
      <c r="E76" s="32"/>
      <c r="F76" s="32"/>
      <c r="G76" s="32"/>
      <c r="H76" s="33"/>
      <c r="I76" s="32"/>
      <c r="J76" s="38"/>
      <c r="K76" s="33"/>
    </row>
    <row r="77" spans="2:11" ht="15.75" customHeight="1" x14ac:dyDescent="0.4">
      <c r="B77" s="30"/>
      <c r="C77" s="31"/>
      <c r="D77" s="31"/>
      <c r="E77" s="32"/>
      <c r="F77" s="32"/>
      <c r="G77" s="32"/>
      <c r="H77" s="33"/>
      <c r="I77" s="32"/>
      <c r="J77" s="38"/>
      <c r="K77" s="33"/>
    </row>
    <row r="78" spans="2:11" ht="15.75" customHeight="1" x14ac:dyDescent="0.4">
      <c r="B78" s="30"/>
      <c r="C78" s="31"/>
      <c r="D78" s="31"/>
      <c r="E78" s="32"/>
      <c r="F78" s="32"/>
      <c r="G78" s="32"/>
      <c r="H78" s="33"/>
      <c r="I78" s="32"/>
      <c r="J78" s="38"/>
      <c r="K78" s="33"/>
    </row>
    <row r="79" spans="2:11" ht="15.75" customHeight="1" x14ac:dyDescent="0.4">
      <c r="B79" s="30"/>
      <c r="C79" s="31"/>
      <c r="D79" s="31"/>
      <c r="E79" s="32"/>
      <c r="F79" s="32"/>
      <c r="G79" s="32"/>
      <c r="H79" s="33"/>
      <c r="I79" s="32"/>
      <c r="J79" s="38"/>
      <c r="K79" s="33"/>
    </row>
    <row r="80" spans="2:11" ht="15.75" customHeight="1" x14ac:dyDescent="0.4">
      <c r="B80" s="30"/>
      <c r="C80" s="31"/>
      <c r="D80" s="31"/>
      <c r="E80" s="32"/>
      <c r="F80" s="32"/>
      <c r="G80" s="32"/>
      <c r="H80" s="33"/>
      <c r="I80" s="32"/>
      <c r="J80" s="38"/>
      <c r="K80" s="33"/>
    </row>
    <row r="81" spans="2:11" ht="15.75" customHeight="1" x14ac:dyDescent="0.4">
      <c r="B81" s="30"/>
      <c r="C81" s="31"/>
      <c r="D81" s="31"/>
      <c r="E81" s="32"/>
      <c r="F81" s="32"/>
      <c r="G81" s="32"/>
      <c r="H81" s="33"/>
      <c r="I81" s="32"/>
      <c r="J81" s="38"/>
      <c r="K81" s="33"/>
    </row>
    <row r="82" spans="2:11" ht="15.75" customHeight="1" x14ac:dyDescent="0.4">
      <c r="B82" s="30"/>
      <c r="C82" s="31"/>
      <c r="D82" s="31"/>
      <c r="E82" s="32"/>
      <c r="F82" s="32"/>
      <c r="G82" s="32"/>
      <c r="H82" s="33"/>
      <c r="I82" s="32"/>
      <c r="J82" s="38"/>
      <c r="K82" s="33"/>
    </row>
    <row r="83" spans="2:11" ht="15.75" customHeight="1" x14ac:dyDescent="0.4">
      <c r="B83" s="30"/>
      <c r="C83" s="31"/>
      <c r="D83" s="31"/>
      <c r="E83" s="32"/>
      <c r="F83" s="32"/>
      <c r="G83" s="32"/>
      <c r="H83" s="33"/>
      <c r="I83" s="32"/>
      <c r="J83" s="38"/>
      <c r="K83" s="33"/>
    </row>
    <row r="84" spans="2:11" ht="15.75" customHeight="1" x14ac:dyDescent="0.4">
      <c r="B84" s="30"/>
      <c r="C84" s="31"/>
      <c r="D84" s="31"/>
      <c r="E84" s="32"/>
      <c r="F84" s="32"/>
      <c r="G84" s="32"/>
      <c r="H84" s="33"/>
      <c r="I84" s="32"/>
      <c r="J84" s="38"/>
      <c r="K84" s="33"/>
    </row>
    <row r="85" spans="2:11" ht="15.75" customHeight="1" x14ac:dyDescent="0.4">
      <c r="B85" s="30"/>
      <c r="C85" s="31"/>
      <c r="D85" s="31"/>
      <c r="E85" s="32"/>
      <c r="F85" s="32"/>
      <c r="G85" s="32"/>
      <c r="H85" s="33"/>
      <c r="I85" s="32"/>
      <c r="J85" s="38"/>
      <c r="K85" s="33"/>
    </row>
    <row r="86" spans="2:11" ht="15.75" customHeight="1" x14ac:dyDescent="0.4">
      <c r="B86" s="30"/>
      <c r="C86" s="31"/>
      <c r="D86" s="31"/>
      <c r="E86" s="32"/>
      <c r="F86" s="32"/>
      <c r="G86" s="32"/>
      <c r="H86" s="33"/>
      <c r="I86" s="32"/>
      <c r="J86" s="38"/>
      <c r="K86" s="33"/>
    </row>
    <row r="87" spans="2:11" ht="15.75" customHeight="1" x14ac:dyDescent="0.4">
      <c r="B87" s="30"/>
      <c r="C87" s="31"/>
      <c r="D87" s="31"/>
      <c r="E87" s="32"/>
      <c r="F87" s="32"/>
      <c r="G87" s="32"/>
      <c r="H87" s="33"/>
      <c r="I87" s="32"/>
      <c r="J87" s="38"/>
      <c r="K87" s="33"/>
    </row>
    <row r="88" spans="2:11" ht="15.75" customHeight="1" x14ac:dyDescent="0.4">
      <c r="B88" s="30"/>
      <c r="C88" s="31"/>
      <c r="D88" s="31"/>
      <c r="E88" s="32"/>
      <c r="F88" s="32"/>
      <c r="G88" s="32"/>
      <c r="H88" s="33"/>
      <c r="I88" s="32"/>
      <c r="J88" s="38"/>
      <c r="K88" s="33"/>
    </row>
    <row r="89" spans="2:11" ht="15.75" customHeight="1" x14ac:dyDescent="0.4">
      <c r="B89" s="30"/>
      <c r="C89" s="31"/>
      <c r="D89" s="31"/>
      <c r="E89" s="32"/>
      <c r="F89" s="32"/>
      <c r="G89" s="32"/>
      <c r="H89" s="33"/>
      <c r="I89" s="32"/>
      <c r="J89" s="38"/>
      <c r="K89" s="33"/>
    </row>
    <row r="90" spans="2:11" ht="15.75" customHeight="1" x14ac:dyDescent="0.4">
      <c r="B90" s="30"/>
      <c r="C90" s="31"/>
      <c r="D90" s="31"/>
      <c r="E90" s="32"/>
      <c r="F90" s="32"/>
      <c r="G90" s="32"/>
      <c r="H90" s="33"/>
      <c r="I90" s="32"/>
      <c r="J90" s="38"/>
      <c r="K90" s="33"/>
    </row>
    <row r="91" spans="2:11" ht="15.75" customHeight="1" x14ac:dyDescent="0.4">
      <c r="B91" s="30"/>
      <c r="C91" s="31"/>
      <c r="D91" s="31"/>
      <c r="E91" s="32"/>
      <c r="F91" s="32"/>
      <c r="G91" s="32"/>
      <c r="H91" s="33"/>
      <c r="I91" s="32"/>
      <c r="J91" s="38"/>
      <c r="K91" s="33"/>
    </row>
    <row r="92" spans="2:11" ht="15.75" customHeight="1" x14ac:dyDescent="0.4">
      <c r="B92" s="30"/>
      <c r="C92" s="31"/>
      <c r="D92" s="31"/>
      <c r="E92" s="32"/>
      <c r="F92" s="32"/>
      <c r="G92" s="32"/>
      <c r="H92" s="33"/>
      <c r="I92" s="32"/>
      <c r="J92" s="38"/>
      <c r="K92" s="33"/>
    </row>
    <row r="93" spans="2:11" ht="15.75" customHeight="1" x14ac:dyDescent="0.4">
      <c r="B93" s="30"/>
      <c r="C93" s="31"/>
      <c r="D93" s="31"/>
      <c r="E93" s="32"/>
      <c r="F93" s="32"/>
      <c r="G93" s="32"/>
      <c r="H93" s="33"/>
      <c r="I93" s="32"/>
      <c r="J93" s="38"/>
      <c r="K93" s="33"/>
    </row>
    <row r="94" spans="2:11" ht="15.75" customHeight="1" x14ac:dyDescent="0.4">
      <c r="B94" s="30"/>
      <c r="C94" s="31"/>
      <c r="D94" s="31"/>
      <c r="E94" s="32"/>
      <c r="F94" s="32"/>
      <c r="G94" s="32"/>
      <c r="H94" s="33"/>
      <c r="I94" s="32"/>
      <c r="J94" s="38"/>
      <c r="K94" s="33"/>
    </row>
    <row r="95" spans="2:11" ht="15.75" customHeight="1" x14ac:dyDescent="0.4">
      <c r="B95" s="30"/>
      <c r="C95" s="31"/>
      <c r="D95" s="31"/>
      <c r="E95" s="32"/>
      <c r="F95" s="32"/>
      <c r="G95" s="32"/>
      <c r="H95" s="33"/>
      <c r="I95" s="32"/>
      <c r="J95" s="38"/>
      <c r="K95" s="33"/>
    </row>
    <row r="96" spans="2:11" ht="15.75" customHeight="1" x14ac:dyDescent="0.4">
      <c r="B96" s="30"/>
      <c r="C96" s="31"/>
      <c r="D96" s="31"/>
      <c r="E96" s="32"/>
      <c r="F96" s="32"/>
      <c r="G96" s="32"/>
      <c r="H96" s="33"/>
      <c r="I96" s="32"/>
      <c r="J96" s="38"/>
      <c r="K96" s="33"/>
    </row>
    <row r="97" spans="2:11" ht="15.75" customHeight="1" x14ac:dyDescent="0.4">
      <c r="B97" s="30"/>
      <c r="C97" s="31"/>
      <c r="D97" s="31"/>
      <c r="E97" s="32"/>
      <c r="F97" s="32"/>
      <c r="G97" s="32"/>
      <c r="H97" s="33"/>
      <c r="I97" s="32"/>
      <c r="J97" s="38"/>
      <c r="K97" s="33"/>
    </row>
    <row r="98" spans="2:11" ht="15.75" customHeight="1" x14ac:dyDescent="0.4">
      <c r="B98" s="30"/>
      <c r="C98" s="31"/>
      <c r="D98" s="31"/>
      <c r="E98" s="32"/>
      <c r="F98" s="32"/>
      <c r="G98" s="32"/>
      <c r="H98" s="33"/>
      <c r="I98" s="32"/>
      <c r="J98" s="38"/>
      <c r="K98" s="33"/>
    </row>
    <row r="99" spans="2:11" ht="15.75" customHeight="1" x14ac:dyDescent="0.4">
      <c r="B99" s="30"/>
      <c r="C99" s="31"/>
      <c r="D99" s="31"/>
      <c r="E99" s="32"/>
      <c r="F99" s="32"/>
      <c r="G99" s="32"/>
      <c r="H99" s="33"/>
      <c r="I99" s="32"/>
      <c r="J99" s="38"/>
      <c r="K99" s="33"/>
    </row>
    <row r="100" spans="2:11" ht="15.75" customHeight="1" x14ac:dyDescent="0.4">
      <c r="B100" s="30"/>
      <c r="C100" s="31"/>
      <c r="D100" s="31"/>
      <c r="E100" s="32"/>
      <c r="F100" s="32"/>
      <c r="G100" s="32"/>
      <c r="H100" s="33"/>
      <c r="I100" s="32"/>
      <c r="J100" s="38"/>
      <c r="K100" s="33"/>
    </row>
    <row r="101" spans="2:11" ht="15.75" customHeight="1" x14ac:dyDescent="0.4">
      <c r="B101" s="30"/>
      <c r="C101" s="31"/>
      <c r="D101" s="31"/>
      <c r="E101" s="32"/>
      <c r="F101" s="32"/>
      <c r="G101" s="32"/>
      <c r="H101" s="33"/>
      <c r="I101" s="32"/>
      <c r="J101" s="38"/>
      <c r="K101" s="33"/>
    </row>
    <row r="102" spans="2:11" ht="15.75" customHeight="1" x14ac:dyDescent="0.4">
      <c r="B102" s="30"/>
      <c r="C102" s="31"/>
      <c r="D102" s="31"/>
      <c r="E102" s="32"/>
      <c r="F102" s="32"/>
      <c r="G102" s="32"/>
      <c r="H102" s="33"/>
      <c r="I102" s="32"/>
      <c r="J102" s="38"/>
      <c r="K102" s="33"/>
    </row>
    <row r="103" spans="2:11" ht="15.75" customHeight="1" x14ac:dyDescent="0.4">
      <c r="B103" s="30"/>
      <c r="C103" s="31"/>
      <c r="D103" s="31"/>
      <c r="E103" s="32"/>
      <c r="F103" s="32"/>
      <c r="G103" s="32"/>
      <c r="H103" s="33"/>
      <c r="I103" s="32"/>
      <c r="J103" s="38"/>
      <c r="K103" s="33"/>
    </row>
    <row r="104" spans="2:11" ht="15.75" customHeight="1" x14ac:dyDescent="0.4">
      <c r="B104" s="30"/>
      <c r="C104" s="31"/>
      <c r="D104" s="31"/>
      <c r="E104" s="32"/>
      <c r="F104" s="32"/>
      <c r="G104" s="32"/>
      <c r="H104" s="33"/>
      <c r="I104" s="32"/>
      <c r="J104" s="38"/>
      <c r="K104" s="33"/>
    </row>
    <row r="105" spans="2:11" ht="15.75" customHeight="1" x14ac:dyDescent="0.4">
      <c r="B105" s="30"/>
      <c r="C105" s="31"/>
      <c r="D105" s="31"/>
      <c r="E105" s="32"/>
      <c r="F105" s="32"/>
      <c r="G105" s="32"/>
      <c r="H105" s="33"/>
      <c r="I105" s="32"/>
      <c r="J105" s="38"/>
      <c r="K105" s="33"/>
    </row>
    <row r="106" spans="2:11" ht="15.75" customHeight="1" x14ac:dyDescent="0.4">
      <c r="B106" s="30"/>
      <c r="C106" s="31"/>
      <c r="D106" s="31"/>
      <c r="E106" s="32"/>
      <c r="F106" s="32"/>
      <c r="G106" s="32"/>
      <c r="H106" s="33"/>
      <c r="I106" s="32"/>
      <c r="J106" s="38"/>
      <c r="K106" s="33"/>
    </row>
    <row r="107" spans="2:11" ht="15.75" customHeight="1" x14ac:dyDescent="0.4">
      <c r="B107" s="30"/>
      <c r="C107" s="31"/>
      <c r="D107" s="31"/>
      <c r="E107" s="32"/>
      <c r="F107" s="32"/>
      <c r="G107" s="32"/>
      <c r="H107" s="33"/>
      <c r="I107" s="32"/>
      <c r="J107" s="38"/>
      <c r="K107" s="33"/>
    </row>
    <row r="108" spans="2:11" ht="15.75" customHeight="1" x14ac:dyDescent="0.4">
      <c r="B108" s="30"/>
      <c r="C108" s="31"/>
      <c r="D108" s="31"/>
      <c r="E108" s="32"/>
      <c r="F108" s="32"/>
      <c r="G108" s="32"/>
      <c r="H108" s="33"/>
      <c r="I108" s="32"/>
      <c r="J108" s="38"/>
      <c r="K108" s="33"/>
    </row>
    <row r="109" spans="2:11" ht="15.75" customHeight="1" x14ac:dyDescent="0.4">
      <c r="B109" s="30"/>
      <c r="C109" s="31"/>
      <c r="D109" s="31"/>
      <c r="E109" s="32"/>
      <c r="F109" s="32"/>
      <c r="G109" s="32"/>
      <c r="H109" s="33"/>
      <c r="I109" s="32"/>
      <c r="J109" s="38"/>
      <c r="K109" s="33"/>
    </row>
    <row r="110" spans="2:11" ht="15.75" customHeight="1" x14ac:dyDescent="0.4">
      <c r="B110" s="30"/>
      <c r="C110" s="31"/>
      <c r="D110" s="31"/>
      <c r="E110" s="32"/>
      <c r="F110" s="32"/>
      <c r="G110" s="32"/>
      <c r="H110" s="33"/>
      <c r="I110" s="32"/>
      <c r="J110" s="38"/>
      <c r="K110" s="33"/>
    </row>
    <row r="111" spans="2:11" ht="15.75" customHeight="1" x14ac:dyDescent="0.4">
      <c r="B111" s="30"/>
      <c r="C111" s="31"/>
      <c r="D111" s="31"/>
      <c r="E111" s="32"/>
      <c r="F111" s="32"/>
      <c r="G111" s="32"/>
      <c r="H111" s="33"/>
      <c r="I111" s="32"/>
      <c r="J111" s="38"/>
      <c r="K111" s="33"/>
    </row>
    <row r="112" spans="2:11" ht="15.75" customHeight="1" x14ac:dyDescent="0.4">
      <c r="B112" s="30"/>
      <c r="C112" s="31"/>
      <c r="D112" s="31"/>
      <c r="E112" s="32"/>
      <c r="F112" s="32"/>
      <c r="G112" s="32"/>
      <c r="H112" s="33"/>
      <c r="I112" s="32"/>
      <c r="J112" s="38"/>
      <c r="K112" s="33"/>
    </row>
    <row r="113" spans="2:11" ht="15.75" customHeight="1" x14ac:dyDescent="0.4">
      <c r="B113" s="30"/>
      <c r="C113" s="31"/>
      <c r="D113" s="31"/>
      <c r="E113" s="32"/>
      <c r="F113" s="32"/>
      <c r="G113" s="32"/>
      <c r="H113" s="33"/>
      <c r="I113" s="32"/>
      <c r="J113" s="38"/>
      <c r="K113" s="33"/>
    </row>
    <row r="114" spans="2:11" ht="15.75" customHeight="1" x14ac:dyDescent="0.4">
      <c r="B114" s="30"/>
      <c r="C114" s="31"/>
      <c r="D114" s="31"/>
      <c r="E114" s="32"/>
      <c r="F114" s="32"/>
      <c r="G114" s="32"/>
      <c r="H114" s="33"/>
      <c r="I114" s="32"/>
      <c r="J114" s="38"/>
      <c r="K114" s="33"/>
    </row>
    <row r="115" spans="2:11" ht="15.75" customHeight="1" x14ac:dyDescent="0.4">
      <c r="B115" s="30"/>
      <c r="C115" s="31"/>
      <c r="D115" s="31"/>
      <c r="E115" s="32"/>
      <c r="F115" s="32"/>
      <c r="G115" s="32"/>
      <c r="H115" s="33"/>
      <c r="I115" s="32"/>
      <c r="J115" s="38"/>
      <c r="K115" s="33"/>
    </row>
    <row r="116" spans="2:11" ht="15.75" customHeight="1" x14ac:dyDescent="0.4">
      <c r="B116" s="30"/>
      <c r="C116" s="31"/>
      <c r="D116" s="31"/>
      <c r="E116" s="32"/>
      <c r="F116" s="32"/>
      <c r="G116" s="32"/>
      <c r="H116" s="33"/>
      <c r="I116" s="32"/>
      <c r="J116" s="38"/>
      <c r="K116" s="33"/>
    </row>
    <row r="117" spans="2:11" ht="15.75" customHeight="1" x14ac:dyDescent="0.4">
      <c r="B117" s="30"/>
      <c r="C117" s="31"/>
      <c r="D117" s="31"/>
      <c r="E117" s="32"/>
      <c r="F117" s="32"/>
      <c r="G117" s="32"/>
      <c r="H117" s="33"/>
      <c r="I117" s="32"/>
      <c r="J117" s="38"/>
      <c r="K117" s="33"/>
    </row>
    <row r="118" spans="2:11" ht="15.75" customHeight="1" x14ac:dyDescent="0.4">
      <c r="B118" s="30"/>
      <c r="C118" s="31"/>
      <c r="D118" s="31"/>
      <c r="E118" s="32"/>
      <c r="F118" s="32"/>
      <c r="G118" s="32"/>
      <c r="H118" s="33"/>
      <c r="I118" s="32"/>
      <c r="J118" s="38"/>
      <c r="K118" s="33"/>
    </row>
    <row r="119" spans="2:11" ht="15.75" customHeight="1" x14ac:dyDescent="0.4">
      <c r="B119" s="30"/>
      <c r="C119" s="31"/>
      <c r="D119" s="31"/>
      <c r="E119" s="32"/>
      <c r="F119" s="32"/>
      <c r="G119" s="32"/>
      <c r="H119" s="33"/>
      <c r="I119" s="32"/>
      <c r="J119" s="38"/>
      <c r="K119" s="33"/>
    </row>
    <row r="120" spans="2:11" ht="15.75" customHeight="1" x14ac:dyDescent="0.4">
      <c r="B120" s="30"/>
      <c r="C120" s="31"/>
      <c r="D120" s="31"/>
      <c r="E120" s="32"/>
      <c r="F120" s="32"/>
      <c r="G120" s="32"/>
      <c r="H120" s="33"/>
      <c r="I120" s="32"/>
      <c r="J120" s="38"/>
      <c r="K120" s="33"/>
    </row>
    <row r="121" spans="2:11" ht="15.75" customHeight="1" x14ac:dyDescent="0.4">
      <c r="B121" s="30"/>
      <c r="C121" s="31"/>
      <c r="D121" s="31"/>
      <c r="E121" s="32"/>
      <c r="F121" s="32"/>
      <c r="G121" s="32"/>
      <c r="H121" s="33"/>
      <c r="I121" s="32"/>
      <c r="J121" s="38"/>
      <c r="K121" s="33"/>
    </row>
    <row r="122" spans="2:11" ht="15.75" customHeight="1" x14ac:dyDescent="0.4">
      <c r="B122" s="30"/>
      <c r="C122" s="31"/>
      <c r="D122" s="31"/>
      <c r="E122" s="32"/>
      <c r="F122" s="32"/>
      <c r="G122" s="32"/>
      <c r="H122" s="33"/>
      <c r="I122" s="32"/>
      <c r="J122" s="38"/>
      <c r="K122" s="33"/>
    </row>
    <row r="123" spans="2:11" ht="15.75" customHeight="1" x14ac:dyDescent="0.4">
      <c r="B123" s="30"/>
      <c r="C123" s="31"/>
      <c r="D123" s="31"/>
      <c r="E123" s="32"/>
      <c r="F123" s="32"/>
      <c r="G123" s="32"/>
      <c r="H123" s="33"/>
      <c r="I123" s="32"/>
      <c r="J123" s="38"/>
      <c r="K123" s="33"/>
    </row>
    <row r="124" spans="2:11" ht="15.75" customHeight="1" x14ac:dyDescent="0.4">
      <c r="B124" s="30"/>
      <c r="C124" s="31"/>
      <c r="D124" s="31"/>
      <c r="E124" s="32"/>
      <c r="F124" s="32"/>
      <c r="G124" s="32"/>
      <c r="H124" s="33"/>
      <c r="I124" s="32"/>
      <c r="J124" s="38"/>
      <c r="K124" s="33"/>
    </row>
    <row r="125" spans="2:11" ht="15.75" customHeight="1" x14ac:dyDescent="0.4">
      <c r="B125" s="30"/>
      <c r="C125" s="31"/>
      <c r="D125" s="31"/>
      <c r="E125" s="32"/>
      <c r="F125" s="32"/>
      <c r="G125" s="32"/>
      <c r="H125" s="33"/>
      <c r="I125" s="32"/>
      <c r="J125" s="38"/>
      <c r="K125" s="33"/>
    </row>
    <row r="126" spans="2:11" ht="15.75" customHeight="1" x14ac:dyDescent="0.4">
      <c r="B126" s="30"/>
      <c r="C126" s="31"/>
      <c r="D126" s="31"/>
      <c r="E126" s="32"/>
      <c r="F126" s="32"/>
      <c r="G126" s="32"/>
      <c r="H126" s="33"/>
      <c r="I126" s="32"/>
      <c r="J126" s="38"/>
      <c r="K126" s="33"/>
    </row>
    <row r="127" spans="2:11" ht="15.75" customHeight="1" x14ac:dyDescent="0.4">
      <c r="B127" s="30"/>
      <c r="C127" s="31"/>
      <c r="D127" s="31"/>
      <c r="E127" s="32"/>
      <c r="F127" s="32"/>
      <c r="G127" s="32"/>
      <c r="H127" s="33"/>
      <c r="I127" s="32"/>
      <c r="J127" s="38"/>
      <c r="K127" s="33"/>
    </row>
    <row r="128" spans="2:11" ht="15.75" customHeight="1" x14ac:dyDescent="0.4">
      <c r="B128" s="30"/>
      <c r="C128" s="31"/>
      <c r="D128" s="31"/>
      <c r="E128" s="32"/>
      <c r="F128" s="32"/>
      <c r="G128" s="32"/>
      <c r="H128" s="33"/>
      <c r="I128" s="32"/>
      <c r="J128" s="38"/>
      <c r="K128" s="33"/>
    </row>
    <row r="129" spans="2:11" ht="15.75" customHeight="1" x14ac:dyDescent="0.4">
      <c r="B129" s="30"/>
      <c r="C129" s="31"/>
      <c r="D129" s="31"/>
      <c r="E129" s="32"/>
      <c r="F129" s="32"/>
      <c r="G129" s="32"/>
      <c r="H129" s="33"/>
      <c r="I129" s="32"/>
      <c r="J129" s="38"/>
      <c r="K129" s="33"/>
    </row>
    <row r="130" spans="2:11" ht="15.75" customHeight="1" x14ac:dyDescent="0.4">
      <c r="B130" s="30"/>
      <c r="C130" s="31"/>
      <c r="D130" s="31"/>
      <c r="E130" s="32"/>
      <c r="F130" s="32"/>
      <c r="G130" s="32"/>
      <c r="H130" s="33"/>
      <c r="I130" s="32"/>
      <c r="J130" s="38"/>
      <c r="K130" s="33"/>
    </row>
    <row r="131" spans="2:11" ht="15.75" customHeight="1" x14ac:dyDescent="0.4">
      <c r="B131" s="30"/>
      <c r="C131" s="31"/>
      <c r="D131" s="31"/>
      <c r="E131" s="32"/>
      <c r="F131" s="32"/>
      <c r="G131" s="32"/>
      <c r="H131" s="33"/>
      <c r="I131" s="32"/>
      <c r="J131" s="38"/>
      <c r="K131" s="33"/>
    </row>
    <row r="132" spans="2:11" ht="15.75" customHeight="1" x14ac:dyDescent="0.4">
      <c r="B132" s="30"/>
      <c r="C132" s="31"/>
      <c r="D132" s="31"/>
      <c r="E132" s="32"/>
      <c r="F132" s="32"/>
      <c r="G132" s="32"/>
      <c r="H132" s="33"/>
      <c r="I132" s="32"/>
      <c r="J132" s="38"/>
      <c r="K132" s="33"/>
    </row>
    <row r="133" spans="2:11" ht="15.75" customHeight="1" x14ac:dyDescent="0.4">
      <c r="B133" s="30"/>
      <c r="C133" s="31"/>
      <c r="D133" s="31"/>
      <c r="E133" s="32"/>
      <c r="F133" s="32"/>
      <c r="G133" s="32"/>
      <c r="H133" s="33"/>
      <c r="I133" s="32"/>
      <c r="J133" s="38"/>
      <c r="K133" s="33"/>
    </row>
    <row r="134" spans="2:11" ht="15.75" customHeight="1" x14ac:dyDescent="0.4">
      <c r="B134" s="30"/>
      <c r="C134" s="31"/>
      <c r="D134" s="31"/>
      <c r="E134" s="32"/>
      <c r="F134" s="32"/>
      <c r="G134" s="32"/>
      <c r="H134" s="33"/>
      <c r="I134" s="32"/>
      <c r="J134" s="38"/>
      <c r="K134" s="33"/>
    </row>
    <row r="135" spans="2:11" ht="15.75" customHeight="1" x14ac:dyDescent="0.4">
      <c r="B135" s="30"/>
      <c r="C135" s="31"/>
      <c r="D135" s="31"/>
      <c r="E135" s="32"/>
      <c r="F135" s="32"/>
      <c r="G135" s="32"/>
      <c r="H135" s="33"/>
      <c r="I135" s="32"/>
      <c r="J135" s="38"/>
      <c r="K135" s="33"/>
    </row>
    <row r="136" spans="2:11" ht="15.75" customHeight="1" x14ac:dyDescent="0.4">
      <c r="B136" s="30"/>
      <c r="C136" s="31"/>
      <c r="D136" s="31"/>
      <c r="E136" s="32"/>
      <c r="F136" s="32"/>
      <c r="G136" s="32"/>
      <c r="H136" s="33"/>
      <c r="I136" s="32"/>
      <c r="J136" s="38"/>
      <c r="K136" s="33"/>
    </row>
    <row r="137" spans="2:11" ht="15.75" customHeight="1" x14ac:dyDescent="0.4">
      <c r="B137" s="30"/>
      <c r="C137" s="31"/>
      <c r="D137" s="31"/>
      <c r="E137" s="32"/>
      <c r="F137" s="32"/>
      <c r="G137" s="32"/>
      <c r="H137" s="33"/>
      <c r="I137" s="32"/>
      <c r="J137" s="38"/>
      <c r="K137" s="33"/>
    </row>
    <row r="138" spans="2:11" ht="15.75" customHeight="1" x14ac:dyDescent="0.4">
      <c r="B138" s="30"/>
      <c r="C138" s="31"/>
      <c r="D138" s="31"/>
      <c r="E138" s="32"/>
      <c r="F138" s="32"/>
      <c r="G138" s="32"/>
      <c r="H138" s="33"/>
      <c r="I138" s="32"/>
      <c r="J138" s="38"/>
      <c r="K138" s="33"/>
    </row>
    <row r="139" spans="2:11" ht="15.75" customHeight="1" x14ac:dyDescent="0.4">
      <c r="B139" s="30"/>
      <c r="C139" s="31"/>
      <c r="D139" s="31"/>
      <c r="E139" s="32"/>
      <c r="F139" s="32"/>
      <c r="G139" s="32"/>
      <c r="H139" s="33"/>
      <c r="I139" s="32"/>
      <c r="J139" s="38"/>
      <c r="K139" s="33"/>
    </row>
    <row r="140" spans="2:11" ht="15.75" customHeight="1" x14ac:dyDescent="0.4">
      <c r="B140" s="30"/>
      <c r="C140" s="31"/>
      <c r="D140" s="31"/>
      <c r="E140" s="32"/>
      <c r="F140" s="32"/>
      <c r="G140" s="32"/>
      <c r="H140" s="33"/>
      <c r="I140" s="32"/>
      <c r="J140" s="38"/>
      <c r="K140" s="33"/>
    </row>
    <row r="141" spans="2:11" ht="15.75" customHeight="1" x14ac:dyDescent="0.4">
      <c r="B141" s="30"/>
      <c r="C141" s="31"/>
      <c r="D141" s="31"/>
      <c r="E141" s="32"/>
      <c r="F141" s="32"/>
      <c r="G141" s="32"/>
      <c r="H141" s="33"/>
      <c r="I141" s="32"/>
      <c r="J141" s="38"/>
      <c r="K141" s="33"/>
    </row>
    <row r="142" spans="2:11" ht="15.75" customHeight="1" x14ac:dyDescent="0.4">
      <c r="B142" s="30"/>
      <c r="C142" s="31"/>
      <c r="D142" s="31"/>
      <c r="E142" s="32"/>
      <c r="F142" s="32"/>
      <c r="G142" s="32"/>
      <c r="H142" s="33"/>
      <c r="I142" s="32"/>
      <c r="J142" s="38"/>
      <c r="K142" s="33"/>
    </row>
    <row r="143" spans="2:11" ht="15.75" customHeight="1" x14ac:dyDescent="0.4">
      <c r="B143" s="30"/>
      <c r="C143" s="31"/>
      <c r="D143" s="31"/>
      <c r="E143" s="32"/>
      <c r="F143" s="32"/>
      <c r="G143" s="32"/>
      <c r="H143" s="33"/>
      <c r="I143" s="32"/>
      <c r="J143" s="38"/>
      <c r="K143" s="33"/>
    </row>
    <row r="144" spans="2:11" ht="15.75" customHeight="1" x14ac:dyDescent="0.4">
      <c r="B144" s="30"/>
      <c r="C144" s="31"/>
      <c r="D144" s="31"/>
      <c r="E144" s="32"/>
      <c r="F144" s="32"/>
      <c r="G144" s="32"/>
      <c r="H144" s="33"/>
      <c r="I144" s="32"/>
      <c r="J144" s="38"/>
      <c r="K144" s="33"/>
    </row>
    <row r="145" spans="2:11" ht="15.75" customHeight="1" x14ac:dyDescent="0.4">
      <c r="B145" s="30"/>
      <c r="C145" s="31"/>
      <c r="D145" s="31"/>
      <c r="E145" s="32"/>
      <c r="F145" s="32"/>
      <c r="G145" s="32"/>
      <c r="H145" s="33"/>
      <c r="I145" s="32"/>
      <c r="J145" s="38"/>
      <c r="K145" s="33"/>
    </row>
    <row r="146" spans="2:11" ht="15.75" customHeight="1" x14ac:dyDescent="0.4">
      <c r="B146" s="30"/>
      <c r="C146" s="31"/>
      <c r="D146" s="31"/>
      <c r="E146" s="32"/>
      <c r="F146" s="32"/>
      <c r="G146" s="32"/>
      <c r="H146" s="33"/>
      <c r="I146" s="32"/>
      <c r="J146" s="38"/>
      <c r="K146" s="33"/>
    </row>
    <row r="147" spans="2:11" ht="15.75" customHeight="1" x14ac:dyDescent="0.4">
      <c r="B147" s="30"/>
      <c r="C147" s="31"/>
      <c r="D147" s="31"/>
      <c r="E147" s="32"/>
      <c r="F147" s="32"/>
      <c r="G147" s="32"/>
      <c r="H147" s="33"/>
      <c r="I147" s="32"/>
      <c r="J147" s="38"/>
      <c r="K147" s="33"/>
    </row>
    <row r="148" spans="2:11" ht="15.75" customHeight="1" x14ac:dyDescent="0.4">
      <c r="B148" s="30"/>
      <c r="C148" s="31"/>
      <c r="D148" s="31"/>
      <c r="E148" s="32"/>
      <c r="F148" s="32"/>
      <c r="G148" s="32"/>
      <c r="H148" s="33"/>
      <c r="I148" s="32"/>
      <c r="J148" s="38"/>
      <c r="K148" s="33"/>
    </row>
    <row r="149" spans="2:11" ht="15.75" customHeight="1" x14ac:dyDescent="0.4">
      <c r="B149" s="30"/>
      <c r="C149" s="31"/>
      <c r="D149" s="31"/>
      <c r="E149" s="32"/>
      <c r="F149" s="32"/>
      <c r="G149" s="32"/>
      <c r="H149" s="33"/>
      <c r="I149" s="32"/>
      <c r="J149" s="38"/>
      <c r="K149" s="33"/>
    </row>
    <row r="150" spans="2:11" ht="15.75" customHeight="1" x14ac:dyDescent="0.4">
      <c r="B150" s="30"/>
      <c r="C150" s="31"/>
      <c r="D150" s="31"/>
      <c r="E150" s="32"/>
      <c r="F150" s="32"/>
      <c r="G150" s="32"/>
      <c r="H150" s="33"/>
      <c r="I150" s="32"/>
      <c r="J150" s="38"/>
      <c r="K150" s="33"/>
    </row>
    <row r="151" spans="2:11" ht="15.75" customHeight="1" x14ac:dyDescent="0.4">
      <c r="B151" s="30"/>
      <c r="C151" s="31"/>
      <c r="D151" s="31"/>
      <c r="E151" s="32"/>
      <c r="F151" s="32"/>
      <c r="G151" s="32"/>
      <c r="H151" s="33"/>
      <c r="I151" s="32"/>
      <c r="J151" s="38"/>
      <c r="K151" s="33"/>
    </row>
    <row r="152" spans="2:11" ht="15.75" customHeight="1" x14ac:dyDescent="0.4">
      <c r="B152" s="30"/>
      <c r="C152" s="31"/>
      <c r="D152" s="31"/>
      <c r="E152" s="32"/>
      <c r="F152" s="32"/>
      <c r="G152" s="32"/>
      <c r="H152" s="33"/>
      <c r="I152" s="32"/>
      <c r="J152" s="38"/>
      <c r="K152" s="33"/>
    </row>
    <row r="153" spans="2:11" ht="15.75" customHeight="1" x14ac:dyDescent="0.4">
      <c r="B153" s="30"/>
      <c r="C153" s="31"/>
      <c r="D153" s="31"/>
      <c r="E153" s="32"/>
      <c r="F153" s="32"/>
      <c r="G153" s="32"/>
      <c r="H153" s="33"/>
      <c r="I153" s="32"/>
      <c r="J153" s="38"/>
      <c r="K153" s="33"/>
    </row>
    <row r="154" spans="2:11" ht="15.75" customHeight="1" x14ac:dyDescent="0.4">
      <c r="B154" s="30"/>
      <c r="C154" s="31"/>
      <c r="D154" s="31"/>
      <c r="E154" s="32"/>
      <c r="F154" s="32"/>
      <c r="G154" s="32"/>
      <c r="H154" s="33"/>
      <c r="I154" s="32"/>
      <c r="J154" s="38"/>
      <c r="K154" s="33"/>
    </row>
    <row r="155" spans="2:11" ht="15.75" customHeight="1" x14ac:dyDescent="0.4">
      <c r="B155" s="30"/>
      <c r="C155" s="31"/>
      <c r="D155" s="31"/>
      <c r="E155" s="32"/>
      <c r="F155" s="32"/>
      <c r="G155" s="32"/>
      <c r="H155" s="33"/>
      <c r="I155" s="32"/>
      <c r="J155" s="38"/>
      <c r="K155" s="33"/>
    </row>
    <row r="156" spans="2:11" ht="15.75" customHeight="1" x14ac:dyDescent="0.4">
      <c r="B156" s="30"/>
      <c r="C156" s="31"/>
      <c r="D156" s="31"/>
      <c r="E156" s="32"/>
      <c r="F156" s="32"/>
      <c r="G156" s="32"/>
      <c r="H156" s="33"/>
      <c r="I156" s="32"/>
      <c r="J156" s="38"/>
      <c r="K156" s="33"/>
    </row>
    <row r="157" spans="2:11" ht="15.75" customHeight="1" x14ac:dyDescent="0.4">
      <c r="B157" s="30"/>
      <c r="C157" s="31"/>
      <c r="D157" s="31"/>
      <c r="E157" s="32"/>
      <c r="F157" s="32"/>
      <c r="G157" s="32"/>
      <c r="H157" s="33"/>
      <c r="I157" s="32"/>
      <c r="J157" s="38"/>
      <c r="K157" s="33"/>
    </row>
    <row r="158" spans="2:11" ht="15.75" customHeight="1" x14ac:dyDescent="0.4">
      <c r="B158" s="30"/>
      <c r="C158" s="31"/>
      <c r="D158" s="31"/>
      <c r="E158" s="32"/>
      <c r="F158" s="32"/>
      <c r="G158" s="32"/>
      <c r="H158" s="33"/>
      <c r="I158" s="32"/>
      <c r="J158" s="38"/>
      <c r="K158" s="33"/>
    </row>
    <row r="159" spans="2:11" ht="15.75" customHeight="1" x14ac:dyDescent="0.4">
      <c r="B159" s="30"/>
      <c r="C159" s="31"/>
      <c r="D159" s="31"/>
      <c r="E159" s="32"/>
      <c r="F159" s="32"/>
      <c r="G159" s="32"/>
      <c r="H159" s="33"/>
      <c r="I159" s="32"/>
      <c r="J159" s="38"/>
      <c r="K159" s="33"/>
    </row>
    <row r="160" spans="2:11" ht="15.75" customHeight="1" x14ac:dyDescent="0.4">
      <c r="B160" s="30"/>
      <c r="C160" s="31"/>
      <c r="D160" s="31"/>
      <c r="E160" s="32"/>
      <c r="F160" s="32"/>
      <c r="G160" s="32"/>
      <c r="H160" s="33"/>
      <c r="I160" s="32"/>
      <c r="J160" s="38"/>
      <c r="K160" s="33"/>
    </row>
    <row r="161" spans="2:11" ht="15.75" customHeight="1" x14ac:dyDescent="0.4">
      <c r="B161" s="30"/>
      <c r="C161" s="31"/>
      <c r="D161" s="31"/>
      <c r="E161" s="32"/>
      <c r="F161" s="32"/>
      <c r="G161" s="32"/>
      <c r="H161" s="33"/>
      <c r="I161" s="32"/>
      <c r="J161" s="38"/>
      <c r="K161" s="33"/>
    </row>
    <row r="162" spans="2:11" ht="15.75" customHeight="1" x14ac:dyDescent="0.4">
      <c r="B162" s="30"/>
      <c r="C162" s="31"/>
      <c r="D162" s="31"/>
      <c r="E162" s="32"/>
      <c r="F162" s="32"/>
      <c r="G162" s="32"/>
      <c r="H162" s="33"/>
      <c r="I162" s="32"/>
      <c r="J162" s="38"/>
      <c r="K162" s="33"/>
    </row>
    <row r="163" spans="2:11" ht="15.75" customHeight="1" x14ac:dyDescent="0.4">
      <c r="B163" s="30"/>
      <c r="C163" s="31"/>
      <c r="D163" s="31"/>
      <c r="E163" s="32"/>
      <c r="F163" s="32"/>
      <c r="G163" s="32"/>
      <c r="H163" s="33"/>
      <c r="I163" s="32"/>
      <c r="J163" s="38"/>
      <c r="K163" s="33"/>
    </row>
    <row r="164" spans="2:11" ht="15.75" customHeight="1" x14ac:dyDescent="0.4">
      <c r="B164" s="30"/>
      <c r="C164" s="31"/>
      <c r="D164" s="31"/>
      <c r="E164" s="32"/>
      <c r="F164" s="32"/>
      <c r="G164" s="32"/>
      <c r="H164" s="33"/>
      <c r="I164" s="32"/>
      <c r="J164" s="38"/>
      <c r="K164" s="33"/>
    </row>
    <row r="165" spans="2:11" ht="15.75" customHeight="1" x14ac:dyDescent="0.4">
      <c r="B165" s="30"/>
      <c r="C165" s="31"/>
      <c r="D165" s="31"/>
      <c r="E165" s="32"/>
      <c r="F165" s="32"/>
      <c r="G165" s="32"/>
      <c r="H165" s="33"/>
      <c r="I165" s="32"/>
      <c r="J165" s="38"/>
      <c r="K165" s="33"/>
    </row>
    <row r="166" spans="2:11" ht="15.75" customHeight="1" x14ac:dyDescent="0.4">
      <c r="B166" s="30"/>
      <c r="C166" s="31"/>
      <c r="D166" s="31"/>
      <c r="E166" s="32"/>
      <c r="F166" s="32"/>
      <c r="G166" s="32"/>
      <c r="H166" s="33"/>
      <c r="I166" s="32"/>
      <c r="J166" s="38"/>
      <c r="K166" s="33"/>
    </row>
    <row r="167" spans="2:11" ht="15.75" customHeight="1" x14ac:dyDescent="0.4">
      <c r="B167" s="30"/>
      <c r="C167" s="31"/>
      <c r="D167" s="31"/>
      <c r="E167" s="32"/>
      <c r="F167" s="32"/>
      <c r="G167" s="32"/>
      <c r="H167" s="33"/>
      <c r="I167" s="32"/>
      <c r="J167" s="38"/>
      <c r="K167" s="33"/>
    </row>
    <row r="168" spans="2:11" ht="15.75" customHeight="1" x14ac:dyDescent="0.4">
      <c r="B168" s="30"/>
      <c r="C168" s="31"/>
      <c r="D168" s="31"/>
      <c r="E168" s="32"/>
      <c r="F168" s="32"/>
      <c r="G168" s="32"/>
      <c r="H168" s="33"/>
      <c r="I168" s="32"/>
      <c r="J168" s="38"/>
      <c r="K168" s="33"/>
    </row>
    <row r="169" spans="2:11" ht="15.75" customHeight="1" x14ac:dyDescent="0.4">
      <c r="B169" s="30"/>
      <c r="C169" s="31"/>
      <c r="D169" s="31"/>
      <c r="E169" s="32"/>
      <c r="F169" s="32"/>
      <c r="G169" s="32"/>
      <c r="H169" s="33"/>
      <c r="I169" s="32"/>
      <c r="J169" s="38"/>
      <c r="K169" s="33"/>
    </row>
    <row r="170" spans="2:11" ht="15.75" customHeight="1" x14ac:dyDescent="0.4">
      <c r="B170" s="30"/>
      <c r="C170" s="31"/>
      <c r="D170" s="31"/>
      <c r="E170" s="32"/>
      <c r="F170" s="32"/>
      <c r="G170" s="32"/>
      <c r="H170" s="33"/>
      <c r="I170" s="32"/>
      <c r="J170" s="38"/>
      <c r="K170" s="33"/>
    </row>
    <row r="171" spans="2:11" ht="15.75" customHeight="1" x14ac:dyDescent="0.4">
      <c r="B171" s="30"/>
      <c r="C171" s="31"/>
      <c r="D171" s="31"/>
      <c r="E171" s="32"/>
      <c r="F171" s="32"/>
      <c r="G171" s="32"/>
      <c r="H171" s="33"/>
      <c r="I171" s="32"/>
      <c r="J171" s="38"/>
      <c r="K171" s="33"/>
    </row>
    <row r="172" spans="2:11" ht="15.75" customHeight="1" x14ac:dyDescent="0.4">
      <c r="B172" s="30"/>
      <c r="C172" s="31"/>
      <c r="D172" s="31"/>
      <c r="E172" s="32"/>
      <c r="F172" s="32"/>
      <c r="G172" s="32"/>
      <c r="H172" s="33"/>
      <c r="I172" s="32"/>
      <c r="J172" s="38"/>
      <c r="K172" s="33"/>
    </row>
    <row r="173" spans="2:11" ht="15.75" customHeight="1" x14ac:dyDescent="0.4">
      <c r="B173" s="30"/>
      <c r="C173" s="31"/>
      <c r="D173" s="31"/>
      <c r="E173" s="32"/>
      <c r="F173" s="32"/>
      <c r="G173" s="32"/>
      <c r="H173" s="33"/>
      <c r="I173" s="32"/>
      <c r="J173" s="38"/>
      <c r="K173" s="33"/>
    </row>
    <row r="174" spans="2:11" ht="15.75" customHeight="1" x14ac:dyDescent="0.4">
      <c r="B174" s="30"/>
      <c r="C174" s="31"/>
      <c r="D174" s="31"/>
      <c r="E174" s="32"/>
      <c r="F174" s="32"/>
      <c r="G174" s="32"/>
      <c r="H174" s="33"/>
      <c r="I174" s="32"/>
      <c r="J174" s="38"/>
      <c r="K174" s="33"/>
    </row>
    <row r="175" spans="2:11" ht="15.75" customHeight="1" x14ac:dyDescent="0.4">
      <c r="B175" s="30"/>
      <c r="C175" s="31"/>
      <c r="D175" s="31"/>
      <c r="E175" s="32"/>
      <c r="F175" s="32"/>
      <c r="G175" s="32"/>
      <c r="H175" s="33"/>
      <c r="I175" s="32"/>
      <c r="J175" s="38"/>
      <c r="K175" s="33"/>
    </row>
    <row r="176" spans="2:11" ht="15.75" customHeight="1" x14ac:dyDescent="0.4">
      <c r="B176" s="30"/>
      <c r="C176" s="31"/>
      <c r="D176" s="31"/>
      <c r="E176" s="32"/>
      <c r="F176" s="32"/>
      <c r="G176" s="32"/>
      <c r="H176" s="33"/>
      <c r="I176" s="32"/>
      <c r="J176" s="38"/>
      <c r="K176" s="33"/>
    </row>
    <row r="177" spans="2:11" ht="15.75" customHeight="1" x14ac:dyDescent="0.4">
      <c r="B177" s="30"/>
      <c r="C177" s="31"/>
      <c r="D177" s="31"/>
      <c r="E177" s="32"/>
      <c r="F177" s="32"/>
      <c r="G177" s="32"/>
      <c r="H177" s="33"/>
      <c r="I177" s="32"/>
      <c r="J177" s="38"/>
      <c r="K177" s="33"/>
    </row>
    <row r="178" spans="2:11" ht="15.75" customHeight="1" x14ac:dyDescent="0.4">
      <c r="B178" s="30"/>
      <c r="C178" s="31"/>
      <c r="D178" s="31"/>
      <c r="E178" s="32"/>
      <c r="F178" s="32"/>
      <c r="G178" s="32"/>
      <c r="H178" s="33"/>
      <c r="I178" s="32"/>
      <c r="J178" s="38"/>
      <c r="K178" s="33"/>
    </row>
    <row r="179" spans="2:11" ht="15.75" customHeight="1" x14ac:dyDescent="0.4">
      <c r="B179" s="30"/>
      <c r="C179" s="31"/>
      <c r="D179" s="31"/>
      <c r="E179" s="32"/>
      <c r="F179" s="32"/>
      <c r="G179" s="32"/>
      <c r="H179" s="33"/>
      <c r="I179" s="32"/>
      <c r="J179" s="38"/>
      <c r="K179" s="33"/>
    </row>
    <row r="180" spans="2:11" ht="15.75" customHeight="1" x14ac:dyDescent="0.4">
      <c r="B180" s="30"/>
      <c r="C180" s="31"/>
      <c r="D180" s="31"/>
      <c r="E180" s="32"/>
      <c r="F180" s="32"/>
      <c r="G180" s="32"/>
      <c r="H180" s="33"/>
      <c r="I180" s="32"/>
      <c r="J180" s="38"/>
      <c r="K180" s="33"/>
    </row>
    <row r="181" spans="2:11" ht="15.75" customHeight="1" x14ac:dyDescent="0.4">
      <c r="B181" s="30"/>
      <c r="C181" s="31"/>
      <c r="D181" s="31"/>
      <c r="E181" s="32"/>
      <c r="F181" s="32"/>
      <c r="G181" s="32"/>
      <c r="H181" s="33"/>
      <c r="I181" s="32"/>
      <c r="J181" s="38"/>
      <c r="K181" s="33"/>
    </row>
    <row r="182" spans="2:11" ht="15.75" customHeight="1" x14ac:dyDescent="0.4">
      <c r="B182" s="30"/>
      <c r="C182" s="31"/>
      <c r="D182" s="31"/>
      <c r="E182" s="32"/>
      <c r="F182" s="32"/>
      <c r="G182" s="32"/>
      <c r="H182" s="33"/>
      <c r="I182" s="32"/>
      <c r="J182" s="38"/>
      <c r="K182" s="33"/>
    </row>
    <row r="183" spans="2:11" ht="15.75" customHeight="1" x14ac:dyDescent="0.4">
      <c r="B183" s="30"/>
      <c r="C183" s="31"/>
      <c r="D183" s="31"/>
      <c r="E183" s="32"/>
      <c r="F183" s="32"/>
      <c r="G183" s="32"/>
      <c r="H183" s="33"/>
      <c r="I183" s="32"/>
      <c r="J183" s="38"/>
      <c r="K183" s="33"/>
    </row>
    <row r="184" spans="2:11" ht="15.75" customHeight="1" x14ac:dyDescent="0.4">
      <c r="B184" s="30"/>
      <c r="C184" s="31"/>
      <c r="D184" s="31"/>
      <c r="E184" s="32"/>
      <c r="F184" s="32"/>
      <c r="G184" s="32"/>
      <c r="H184" s="33"/>
      <c r="I184" s="32"/>
      <c r="J184" s="38"/>
      <c r="K184" s="33"/>
    </row>
    <row r="185" spans="2:11" ht="15.75" customHeight="1" x14ac:dyDescent="0.4">
      <c r="B185" s="30"/>
      <c r="C185" s="31"/>
      <c r="D185" s="31"/>
      <c r="E185" s="32"/>
      <c r="F185" s="32"/>
      <c r="G185" s="32"/>
      <c r="H185" s="33"/>
      <c r="I185" s="32"/>
      <c r="J185" s="38"/>
      <c r="K185" s="33"/>
    </row>
    <row r="186" spans="2:11" ht="15.75" customHeight="1" x14ac:dyDescent="0.4">
      <c r="B186" s="30"/>
      <c r="C186" s="31"/>
      <c r="D186" s="31"/>
      <c r="E186" s="32"/>
      <c r="F186" s="32"/>
      <c r="G186" s="32"/>
      <c r="H186" s="33"/>
      <c r="I186" s="32"/>
      <c r="J186" s="38"/>
      <c r="K186" s="33"/>
    </row>
    <row r="187" spans="2:11" ht="15.75" customHeight="1" x14ac:dyDescent="0.4">
      <c r="B187" s="30"/>
      <c r="C187" s="31"/>
      <c r="D187" s="31"/>
      <c r="E187" s="32"/>
      <c r="F187" s="32"/>
      <c r="G187" s="32"/>
      <c r="H187" s="33"/>
      <c r="I187" s="32"/>
      <c r="J187" s="38"/>
      <c r="K187" s="33"/>
    </row>
    <row r="188" spans="2:11" ht="15.75" customHeight="1" x14ac:dyDescent="0.4">
      <c r="B188" s="30"/>
      <c r="C188" s="31"/>
      <c r="D188" s="31"/>
      <c r="E188" s="32"/>
      <c r="F188" s="32"/>
      <c r="G188" s="32"/>
      <c r="H188" s="33"/>
      <c r="I188" s="32"/>
      <c r="J188" s="38"/>
      <c r="K188" s="33"/>
    </row>
    <row r="189" spans="2:11" ht="15.75" customHeight="1" x14ac:dyDescent="0.4">
      <c r="B189" s="30"/>
      <c r="C189" s="31"/>
      <c r="D189" s="31"/>
      <c r="E189" s="32"/>
      <c r="F189" s="32"/>
      <c r="G189" s="32"/>
      <c r="H189" s="33"/>
      <c r="I189" s="32"/>
      <c r="J189" s="38"/>
      <c r="K189" s="33"/>
    </row>
    <row r="190" spans="2:11" ht="15.75" customHeight="1" x14ac:dyDescent="0.4">
      <c r="B190" s="30"/>
      <c r="C190" s="31"/>
      <c r="D190" s="31"/>
      <c r="E190" s="32"/>
      <c r="F190" s="32"/>
      <c r="G190" s="32"/>
      <c r="H190" s="33"/>
      <c r="I190" s="32"/>
      <c r="J190" s="38"/>
      <c r="K190" s="33"/>
    </row>
    <row r="191" spans="2:11" ht="15.75" customHeight="1" x14ac:dyDescent="0.4">
      <c r="B191" s="30"/>
      <c r="C191" s="31"/>
      <c r="D191" s="31"/>
      <c r="E191" s="32"/>
      <c r="F191" s="32"/>
      <c r="G191" s="32"/>
      <c r="H191" s="33"/>
      <c r="I191" s="32"/>
      <c r="J191" s="38"/>
      <c r="K191" s="33"/>
    </row>
    <row r="192" spans="2:11" ht="15.75" customHeight="1" x14ac:dyDescent="0.4">
      <c r="B192" s="30"/>
      <c r="C192" s="31"/>
      <c r="D192" s="31"/>
      <c r="E192" s="32"/>
      <c r="F192" s="32"/>
      <c r="G192" s="32"/>
      <c r="H192" s="33"/>
      <c r="I192" s="32"/>
      <c r="J192" s="38"/>
      <c r="K192" s="33"/>
    </row>
    <row r="193" spans="2:11" ht="15.75" customHeight="1" x14ac:dyDescent="0.4">
      <c r="B193" s="30"/>
      <c r="C193" s="31"/>
      <c r="D193" s="31"/>
      <c r="E193" s="32"/>
      <c r="F193" s="32"/>
      <c r="G193" s="32"/>
      <c r="H193" s="33"/>
      <c r="I193" s="32"/>
      <c r="J193" s="38"/>
      <c r="K193" s="33"/>
    </row>
    <row r="194" spans="2:11" ht="15.75" customHeight="1" x14ac:dyDescent="0.4">
      <c r="B194" s="30"/>
      <c r="C194" s="31"/>
      <c r="D194" s="31"/>
      <c r="E194" s="32"/>
      <c r="F194" s="32"/>
      <c r="G194" s="32"/>
      <c r="H194" s="33"/>
      <c r="I194" s="32"/>
      <c r="J194" s="38"/>
      <c r="K194" s="33"/>
    </row>
    <row r="195" spans="2:11" ht="15.75" customHeight="1" x14ac:dyDescent="0.4">
      <c r="B195" s="30"/>
      <c r="C195" s="31"/>
      <c r="D195" s="31"/>
      <c r="E195" s="32"/>
      <c r="F195" s="32"/>
      <c r="G195" s="32"/>
      <c r="H195" s="33"/>
      <c r="I195" s="32"/>
      <c r="J195" s="38"/>
      <c r="K195" s="33"/>
    </row>
    <row r="196" spans="2:11" ht="15.75" customHeight="1" x14ac:dyDescent="0.4">
      <c r="B196" s="30"/>
      <c r="C196" s="31"/>
      <c r="D196" s="31"/>
      <c r="E196" s="32"/>
      <c r="F196" s="32"/>
      <c r="G196" s="32"/>
      <c r="H196" s="33"/>
      <c r="I196" s="32"/>
      <c r="J196" s="38"/>
      <c r="K196" s="33"/>
    </row>
    <row r="197" spans="2:11" ht="15.75" customHeight="1" x14ac:dyDescent="0.4">
      <c r="B197" s="30"/>
      <c r="C197" s="31"/>
      <c r="D197" s="31"/>
      <c r="E197" s="32"/>
      <c r="F197" s="32"/>
      <c r="G197" s="32"/>
      <c r="H197" s="33"/>
      <c r="I197" s="32"/>
      <c r="J197" s="38"/>
      <c r="K197" s="33"/>
    </row>
    <row r="198" spans="2:11" ht="15.75" customHeight="1" x14ac:dyDescent="0.4">
      <c r="B198" s="30"/>
      <c r="C198" s="31"/>
      <c r="D198" s="31"/>
      <c r="E198" s="32"/>
      <c r="F198" s="32"/>
      <c r="G198" s="32"/>
      <c r="H198" s="33"/>
      <c r="I198" s="32"/>
      <c r="J198" s="38"/>
      <c r="K198" s="33"/>
    </row>
    <row r="199" spans="2:11" ht="15.75" customHeight="1" x14ac:dyDescent="0.4">
      <c r="B199" s="30"/>
      <c r="C199" s="31"/>
      <c r="D199" s="31"/>
      <c r="E199" s="32"/>
      <c r="F199" s="32"/>
      <c r="G199" s="32"/>
      <c r="H199" s="33"/>
      <c r="I199" s="32"/>
      <c r="J199" s="38"/>
      <c r="K199" s="33"/>
    </row>
    <row r="200" spans="2:11" ht="15.75" customHeight="1" x14ac:dyDescent="0.4">
      <c r="B200" s="30"/>
      <c r="C200" s="31"/>
      <c r="D200" s="31"/>
      <c r="E200" s="32"/>
      <c r="F200" s="32"/>
      <c r="G200" s="32"/>
      <c r="H200" s="33"/>
      <c r="I200" s="32"/>
      <c r="J200" s="38"/>
      <c r="K200" s="33"/>
    </row>
    <row r="201" spans="2:11" ht="15.75" customHeight="1" x14ac:dyDescent="0.4">
      <c r="B201" s="30"/>
      <c r="C201" s="31"/>
      <c r="D201" s="31"/>
      <c r="E201" s="32"/>
      <c r="F201" s="32"/>
      <c r="G201" s="32"/>
      <c r="H201" s="33"/>
      <c r="I201" s="32"/>
      <c r="J201" s="38"/>
      <c r="K201" s="33"/>
    </row>
    <row r="202" spans="2:11" ht="15.75" customHeight="1" x14ac:dyDescent="0.4">
      <c r="B202" s="30"/>
      <c r="C202" s="31"/>
      <c r="D202" s="31"/>
      <c r="E202" s="32"/>
      <c r="F202" s="32"/>
      <c r="G202" s="32"/>
      <c r="H202" s="33"/>
      <c r="I202" s="32"/>
      <c r="J202" s="38"/>
      <c r="K202" s="33"/>
    </row>
    <row r="203" spans="2:11" ht="15.75" customHeight="1" x14ac:dyDescent="0.4">
      <c r="B203" s="30"/>
      <c r="C203" s="31"/>
      <c r="D203" s="31"/>
      <c r="E203" s="32"/>
      <c r="F203" s="32"/>
      <c r="G203" s="32"/>
      <c r="H203" s="33"/>
      <c r="I203" s="32"/>
      <c r="J203" s="38"/>
      <c r="K203" s="33"/>
    </row>
    <row r="204" spans="2:11" ht="15.75" customHeight="1" x14ac:dyDescent="0.4">
      <c r="B204" s="30"/>
      <c r="C204" s="31"/>
      <c r="D204" s="31"/>
      <c r="E204" s="32"/>
      <c r="F204" s="32"/>
      <c r="G204" s="32"/>
      <c r="H204" s="33"/>
      <c r="I204" s="32"/>
      <c r="J204" s="38"/>
      <c r="K204" s="33"/>
    </row>
    <row r="205" spans="2:11" ht="15.75" customHeight="1" x14ac:dyDescent="0.4">
      <c r="B205" s="30"/>
      <c r="C205" s="31"/>
      <c r="D205" s="31"/>
      <c r="E205" s="32"/>
      <c r="F205" s="32"/>
      <c r="G205" s="32"/>
      <c r="H205" s="33"/>
      <c r="I205" s="32"/>
      <c r="J205" s="38"/>
      <c r="K205" s="33"/>
    </row>
    <row r="206" spans="2:11" ht="15.75" customHeight="1" x14ac:dyDescent="0.4">
      <c r="B206" s="30"/>
      <c r="C206" s="31"/>
      <c r="D206" s="31"/>
      <c r="E206" s="32"/>
      <c r="F206" s="32"/>
      <c r="G206" s="32"/>
      <c r="H206" s="33"/>
      <c r="I206" s="32"/>
      <c r="J206" s="38"/>
      <c r="K206" s="33"/>
    </row>
    <row r="207" spans="2:11" ht="15.75" customHeight="1" x14ac:dyDescent="0.4">
      <c r="B207" s="30"/>
      <c r="C207" s="31"/>
      <c r="D207" s="31"/>
      <c r="E207" s="32"/>
      <c r="F207" s="32"/>
      <c r="G207" s="32"/>
      <c r="H207" s="33"/>
      <c r="I207" s="32"/>
      <c r="J207" s="38"/>
      <c r="K207" s="33"/>
    </row>
    <row r="208" spans="2:11" ht="15.75" customHeight="1" x14ac:dyDescent="0.4">
      <c r="B208" s="30"/>
      <c r="C208" s="31"/>
      <c r="D208" s="31"/>
      <c r="E208" s="32"/>
      <c r="F208" s="32"/>
      <c r="G208" s="32"/>
      <c r="H208" s="33"/>
      <c r="I208" s="32"/>
      <c r="J208" s="38"/>
      <c r="K208" s="33"/>
    </row>
    <row r="209" spans="2:11" ht="15.75" customHeight="1" x14ac:dyDescent="0.4">
      <c r="B209" s="30"/>
      <c r="C209" s="31"/>
      <c r="D209" s="31"/>
      <c r="E209" s="32"/>
      <c r="F209" s="32"/>
      <c r="G209" s="32"/>
      <c r="H209" s="33"/>
      <c r="I209" s="32"/>
      <c r="J209" s="38"/>
      <c r="K209" s="33"/>
    </row>
    <row r="210" spans="2:11" ht="15.75" customHeight="1" x14ac:dyDescent="0.4">
      <c r="B210" s="30"/>
      <c r="C210" s="31"/>
      <c r="D210" s="31"/>
      <c r="E210" s="32"/>
      <c r="F210" s="32"/>
      <c r="G210" s="32"/>
      <c r="H210" s="33"/>
      <c r="I210" s="32"/>
      <c r="J210" s="38"/>
      <c r="K210" s="33"/>
    </row>
    <row r="211" spans="2:11" ht="15.75" customHeight="1" x14ac:dyDescent="0.4">
      <c r="B211" s="30"/>
      <c r="C211" s="31"/>
      <c r="D211" s="31"/>
      <c r="E211" s="32"/>
      <c r="F211" s="32"/>
      <c r="G211" s="32"/>
      <c r="H211" s="33"/>
      <c r="I211" s="32"/>
      <c r="J211" s="38"/>
      <c r="K211" s="33"/>
    </row>
    <row r="212" spans="2:11" ht="15.75" customHeight="1" x14ac:dyDescent="0.4">
      <c r="B212" s="30"/>
      <c r="C212" s="31"/>
      <c r="D212" s="31"/>
      <c r="E212" s="32"/>
      <c r="F212" s="32"/>
      <c r="G212" s="32"/>
      <c r="H212" s="33"/>
      <c r="I212" s="32"/>
      <c r="J212" s="38"/>
      <c r="K212" s="33"/>
    </row>
    <row r="213" spans="2:11" ht="15.75" customHeight="1" x14ac:dyDescent="0.4">
      <c r="B213" s="30"/>
      <c r="C213" s="31"/>
      <c r="D213" s="31"/>
      <c r="E213" s="32"/>
      <c r="F213" s="32"/>
      <c r="G213" s="32"/>
      <c r="H213" s="33"/>
      <c r="I213" s="32"/>
      <c r="J213" s="38"/>
      <c r="K213" s="33"/>
    </row>
    <row r="214" spans="2:11" ht="15.75" customHeight="1" x14ac:dyDescent="0.4">
      <c r="B214" s="30"/>
      <c r="C214" s="31"/>
      <c r="D214" s="31"/>
      <c r="E214" s="32"/>
      <c r="F214" s="32"/>
      <c r="G214" s="32"/>
      <c r="H214" s="33"/>
      <c r="I214" s="32"/>
      <c r="J214" s="38"/>
      <c r="K214" s="33"/>
    </row>
    <row r="215" spans="2:11" ht="15.75" customHeight="1" x14ac:dyDescent="0.4">
      <c r="B215" s="30"/>
      <c r="C215" s="31"/>
      <c r="D215" s="31"/>
      <c r="E215" s="32"/>
      <c r="F215" s="32"/>
      <c r="G215" s="32"/>
      <c r="H215" s="33"/>
      <c r="I215" s="32"/>
      <c r="J215" s="38"/>
      <c r="K215" s="33"/>
    </row>
    <row r="216" spans="2:11" ht="15.75" customHeight="1" x14ac:dyDescent="0.4">
      <c r="B216" s="30"/>
      <c r="C216" s="31"/>
      <c r="D216" s="31"/>
      <c r="E216" s="32"/>
      <c r="F216" s="32"/>
      <c r="G216" s="32"/>
      <c r="H216" s="33"/>
      <c r="I216" s="32"/>
      <c r="J216" s="38"/>
      <c r="K216" s="33"/>
    </row>
    <row r="217" spans="2:11" ht="15.75" customHeight="1" x14ac:dyDescent="0.4">
      <c r="B217" s="30"/>
      <c r="C217" s="31"/>
      <c r="D217" s="31"/>
      <c r="E217" s="32"/>
      <c r="F217" s="32"/>
      <c r="G217" s="32"/>
      <c r="H217" s="33"/>
      <c r="I217" s="32"/>
      <c r="J217" s="38"/>
      <c r="K217" s="33"/>
    </row>
    <row r="218" spans="2:11" ht="15.75" customHeight="1" x14ac:dyDescent="0.4">
      <c r="B218" s="30"/>
      <c r="C218" s="31"/>
      <c r="D218" s="31"/>
      <c r="E218" s="32"/>
      <c r="F218" s="32"/>
      <c r="G218" s="32"/>
      <c r="H218" s="33"/>
      <c r="I218" s="32"/>
      <c r="J218" s="38"/>
      <c r="K218" s="33"/>
    </row>
    <row r="219" spans="2:11" ht="15.75" customHeight="1" x14ac:dyDescent="0.4">
      <c r="B219" s="30"/>
      <c r="C219" s="31"/>
      <c r="D219" s="31"/>
      <c r="E219" s="32"/>
      <c r="F219" s="32"/>
      <c r="G219" s="32"/>
      <c r="H219" s="33"/>
      <c r="I219" s="32"/>
      <c r="J219" s="38"/>
      <c r="K219" s="33"/>
    </row>
    <row r="220" spans="2:11" ht="15.75" customHeight="1" x14ac:dyDescent="0.4">
      <c r="B220" s="30"/>
      <c r="C220" s="31"/>
      <c r="D220" s="31"/>
      <c r="E220" s="32"/>
      <c r="F220" s="32"/>
      <c r="G220" s="32"/>
      <c r="H220" s="33"/>
      <c r="I220" s="32"/>
      <c r="J220" s="38"/>
      <c r="K220" s="33"/>
    </row>
    <row r="221" spans="2:11" ht="15.75" customHeight="1" x14ac:dyDescent="0.4">
      <c r="B221" s="30"/>
      <c r="C221" s="31"/>
      <c r="D221" s="31"/>
      <c r="E221" s="32"/>
      <c r="F221" s="32"/>
      <c r="G221" s="32"/>
      <c r="H221" s="33"/>
      <c r="I221" s="32"/>
      <c r="J221" s="38"/>
      <c r="K221" s="33"/>
    </row>
    <row r="222" spans="2:11" ht="15.75" customHeight="1" x14ac:dyDescent="0.4">
      <c r="B222" s="30"/>
      <c r="C222" s="31"/>
      <c r="D222" s="31"/>
      <c r="E222" s="32"/>
      <c r="F222" s="32"/>
      <c r="G222" s="32"/>
      <c r="H222" s="33"/>
      <c r="I222" s="32"/>
      <c r="J222" s="38"/>
      <c r="K222" s="33"/>
    </row>
    <row r="223" spans="2:11" ht="15.75" customHeight="1" x14ac:dyDescent="0.4">
      <c r="B223" s="30"/>
      <c r="C223" s="31"/>
      <c r="D223" s="31"/>
      <c r="E223" s="32"/>
      <c r="F223" s="32"/>
      <c r="G223" s="32"/>
      <c r="H223" s="33"/>
      <c r="I223" s="32"/>
      <c r="J223" s="38"/>
      <c r="K223" s="33"/>
    </row>
    <row r="224" spans="2:11" ht="15.75" customHeight="1" x14ac:dyDescent="0.4">
      <c r="B224" s="30"/>
      <c r="C224" s="31"/>
      <c r="D224" s="31"/>
      <c r="E224" s="32"/>
      <c r="F224" s="32"/>
      <c r="G224" s="32"/>
      <c r="H224" s="33"/>
      <c r="I224" s="32"/>
      <c r="J224" s="38"/>
      <c r="K224" s="33"/>
    </row>
    <row r="225" spans="2:11" ht="15.75" customHeight="1" x14ac:dyDescent="0.4">
      <c r="B225" s="30"/>
      <c r="C225" s="31"/>
      <c r="D225" s="31"/>
      <c r="E225" s="32"/>
      <c r="F225" s="32"/>
      <c r="G225" s="32"/>
      <c r="H225" s="33"/>
      <c r="I225" s="32"/>
      <c r="J225" s="38"/>
      <c r="K225" s="33"/>
    </row>
    <row r="226" spans="2:11" ht="15.75" customHeight="1" x14ac:dyDescent="0.4">
      <c r="B226" s="30"/>
      <c r="C226" s="31"/>
      <c r="D226" s="31"/>
      <c r="E226" s="32"/>
      <c r="F226" s="32"/>
      <c r="G226" s="32"/>
      <c r="H226" s="33"/>
      <c r="I226" s="32"/>
      <c r="J226" s="38"/>
      <c r="K226" s="33"/>
    </row>
    <row r="227" spans="2:11" ht="15.75" customHeight="1" x14ac:dyDescent="0.4">
      <c r="B227" s="30"/>
      <c r="C227" s="31"/>
      <c r="D227" s="31"/>
      <c r="E227" s="32"/>
      <c r="F227" s="32"/>
      <c r="G227" s="32"/>
      <c r="H227" s="33"/>
      <c r="I227" s="32"/>
      <c r="J227" s="38"/>
      <c r="K227" s="33"/>
    </row>
    <row r="228" spans="2:11" ht="15.75" customHeight="1" x14ac:dyDescent="0.4">
      <c r="B228" s="30"/>
      <c r="C228" s="31"/>
      <c r="D228" s="31"/>
      <c r="E228" s="32"/>
      <c r="F228" s="32"/>
      <c r="G228" s="32"/>
      <c r="H228" s="33"/>
      <c r="I228" s="32"/>
      <c r="J228" s="38"/>
      <c r="K228" s="33"/>
    </row>
    <row r="229" spans="2:11" ht="15.75" customHeight="1" x14ac:dyDescent="0.4">
      <c r="B229" s="30"/>
      <c r="C229" s="31"/>
      <c r="D229" s="31"/>
      <c r="E229" s="32"/>
      <c r="F229" s="32"/>
      <c r="G229" s="32"/>
      <c r="H229" s="33"/>
      <c r="I229" s="32"/>
      <c r="J229" s="38"/>
      <c r="K229" s="33"/>
    </row>
    <row r="230" spans="2:11" ht="15.75" customHeight="1" x14ac:dyDescent="0.4">
      <c r="B230" s="30"/>
      <c r="C230" s="31"/>
      <c r="D230" s="31"/>
      <c r="E230" s="32"/>
      <c r="F230" s="32"/>
      <c r="G230" s="32"/>
      <c r="H230" s="33"/>
      <c r="I230" s="32"/>
      <c r="J230" s="38"/>
      <c r="K230" s="33"/>
    </row>
    <row r="231" spans="2:11" ht="15.75" customHeight="1" x14ac:dyDescent="0.4">
      <c r="B231" s="30"/>
      <c r="C231" s="31"/>
      <c r="D231" s="31"/>
      <c r="E231" s="32"/>
      <c r="F231" s="32"/>
      <c r="G231" s="32"/>
      <c r="H231" s="33"/>
      <c r="I231" s="32"/>
      <c r="J231" s="38"/>
      <c r="K231" s="33"/>
    </row>
    <row r="232" spans="2:11" ht="15.75" customHeight="1" x14ac:dyDescent="0.4">
      <c r="B232" s="30"/>
      <c r="C232" s="31"/>
      <c r="D232" s="31"/>
      <c r="E232" s="32"/>
      <c r="F232" s="32"/>
      <c r="G232" s="32"/>
      <c r="H232" s="33"/>
      <c r="I232" s="32"/>
      <c r="J232" s="38"/>
      <c r="K232" s="33"/>
    </row>
    <row r="233" spans="2:11" ht="15.75" customHeight="1" x14ac:dyDescent="0.4">
      <c r="B233" s="30"/>
      <c r="C233" s="31"/>
      <c r="D233" s="31"/>
      <c r="E233" s="32"/>
      <c r="F233" s="32"/>
      <c r="G233" s="32"/>
      <c r="H233" s="33"/>
      <c r="I233" s="32"/>
      <c r="J233" s="38"/>
      <c r="K233" s="33"/>
    </row>
    <row r="234" spans="2:11" ht="15.75" customHeight="1" x14ac:dyDescent="0.4">
      <c r="B234" s="30"/>
      <c r="C234" s="31"/>
      <c r="D234" s="31"/>
      <c r="E234" s="32"/>
      <c r="F234" s="32"/>
      <c r="G234" s="32"/>
      <c r="H234" s="33"/>
      <c r="I234" s="32"/>
      <c r="J234" s="38"/>
      <c r="K234" s="33"/>
    </row>
    <row r="235" spans="2:11" ht="15.75" customHeight="1" x14ac:dyDescent="0.4">
      <c r="B235" s="30"/>
      <c r="C235" s="31"/>
      <c r="D235" s="31"/>
      <c r="E235" s="32"/>
      <c r="F235" s="32"/>
      <c r="G235" s="32"/>
      <c r="H235" s="33"/>
      <c r="I235" s="32"/>
      <c r="J235" s="38"/>
      <c r="K235" s="33"/>
    </row>
    <row r="236" spans="2:11" ht="15.75" customHeight="1" x14ac:dyDescent="0.4">
      <c r="B236" s="30"/>
      <c r="C236" s="31"/>
      <c r="D236" s="31"/>
      <c r="E236" s="32"/>
      <c r="F236" s="32"/>
      <c r="G236" s="32"/>
      <c r="H236" s="33"/>
      <c r="I236" s="32"/>
      <c r="J236" s="38"/>
      <c r="K236" s="33"/>
    </row>
    <row r="237" spans="2:11" ht="15.75" customHeight="1" x14ac:dyDescent="0.4">
      <c r="B237" s="30"/>
      <c r="C237" s="31"/>
      <c r="D237" s="31"/>
      <c r="E237" s="32"/>
      <c r="F237" s="32"/>
      <c r="G237" s="32"/>
      <c r="H237" s="33"/>
      <c r="I237" s="32"/>
      <c r="J237" s="38"/>
      <c r="K237" s="33"/>
    </row>
    <row r="238" spans="2:11" ht="15.75" customHeight="1" x14ac:dyDescent="0.4">
      <c r="B238" s="30"/>
      <c r="C238" s="31"/>
      <c r="D238" s="31"/>
      <c r="E238" s="32"/>
      <c r="F238" s="32"/>
      <c r="G238" s="32"/>
      <c r="H238" s="33"/>
      <c r="I238" s="32"/>
      <c r="J238" s="38"/>
      <c r="K238" s="33"/>
    </row>
    <row r="239" spans="2:11" ht="15.75" customHeight="1" x14ac:dyDescent="0.4">
      <c r="B239" s="30"/>
      <c r="C239" s="31"/>
      <c r="D239" s="31"/>
      <c r="E239" s="32"/>
      <c r="F239" s="32"/>
      <c r="G239" s="32"/>
      <c r="H239" s="33"/>
      <c r="I239" s="32"/>
      <c r="J239" s="38"/>
      <c r="K239" s="33"/>
    </row>
    <row r="240" spans="2:11" ht="15.75" customHeight="1" x14ac:dyDescent="0.4">
      <c r="B240" s="30"/>
      <c r="C240" s="31"/>
      <c r="D240" s="31"/>
      <c r="E240" s="32"/>
      <c r="F240" s="32"/>
      <c r="G240" s="32"/>
      <c r="H240" s="33"/>
      <c r="I240" s="32"/>
      <c r="J240" s="38"/>
      <c r="K240" s="33"/>
    </row>
    <row r="241" spans="2:11" ht="15.75" customHeight="1" x14ac:dyDescent="0.4">
      <c r="B241" s="30"/>
      <c r="C241" s="31"/>
      <c r="D241" s="31"/>
      <c r="E241" s="32"/>
      <c r="F241" s="32"/>
      <c r="G241" s="32"/>
      <c r="H241" s="33"/>
      <c r="I241" s="32"/>
      <c r="J241" s="38"/>
      <c r="K241" s="33"/>
    </row>
    <row r="242" spans="2:11" ht="15.75" customHeight="1" x14ac:dyDescent="0.4">
      <c r="B242" s="30"/>
      <c r="C242" s="31"/>
      <c r="D242" s="31"/>
      <c r="E242" s="32"/>
      <c r="F242" s="32"/>
      <c r="G242" s="32"/>
      <c r="H242" s="33"/>
      <c r="I242" s="32"/>
      <c r="J242" s="38"/>
      <c r="K242" s="33"/>
    </row>
    <row r="243" spans="2:11" ht="15.75" customHeight="1" x14ac:dyDescent="0.4">
      <c r="B243" s="30"/>
      <c r="C243" s="31"/>
      <c r="D243" s="31"/>
      <c r="E243" s="32"/>
      <c r="F243" s="32"/>
      <c r="G243" s="32"/>
      <c r="H243" s="33"/>
      <c r="I243" s="32"/>
      <c r="J243" s="38"/>
      <c r="K243" s="33"/>
    </row>
    <row r="244" spans="2:11" ht="15.75" customHeight="1" x14ac:dyDescent="0.4">
      <c r="B244" s="30"/>
      <c r="C244" s="31"/>
      <c r="D244" s="31"/>
      <c r="E244" s="32"/>
      <c r="F244" s="32"/>
      <c r="G244" s="32"/>
      <c r="H244" s="33"/>
      <c r="I244" s="32"/>
      <c r="J244" s="38"/>
      <c r="K244" s="33"/>
    </row>
    <row r="245" spans="2:11" ht="15.75" customHeight="1" x14ac:dyDescent="0.4">
      <c r="B245" s="30"/>
      <c r="C245" s="31"/>
      <c r="D245" s="31"/>
      <c r="E245" s="32"/>
      <c r="F245" s="32"/>
      <c r="G245" s="32"/>
      <c r="H245" s="33"/>
      <c r="I245" s="32"/>
      <c r="J245" s="38"/>
      <c r="K245" s="33"/>
    </row>
    <row r="246" spans="2:11" ht="15.75" customHeight="1" x14ac:dyDescent="0.4">
      <c r="B246" s="30"/>
      <c r="C246" s="31"/>
      <c r="D246" s="31"/>
      <c r="E246" s="32"/>
      <c r="F246" s="32"/>
      <c r="G246" s="32"/>
      <c r="H246" s="33"/>
      <c r="I246" s="32"/>
      <c r="J246" s="38"/>
      <c r="K246" s="33"/>
    </row>
    <row r="247" spans="2:11" ht="15.75" customHeight="1" x14ac:dyDescent="0.4">
      <c r="B247" s="30"/>
      <c r="C247" s="31"/>
      <c r="D247" s="31"/>
      <c r="E247" s="32"/>
      <c r="F247" s="32"/>
      <c r="G247" s="32"/>
      <c r="H247" s="33"/>
      <c r="I247" s="32"/>
      <c r="J247" s="38"/>
      <c r="K247" s="33"/>
    </row>
    <row r="248" spans="2:11" ht="15.75" customHeight="1" x14ac:dyDescent="0.4">
      <c r="B248" s="30"/>
      <c r="C248" s="31"/>
      <c r="D248" s="31"/>
      <c r="E248" s="32"/>
      <c r="F248" s="32"/>
      <c r="G248" s="32"/>
      <c r="H248" s="33"/>
      <c r="I248" s="32"/>
      <c r="J248" s="38"/>
      <c r="K248" s="33"/>
    </row>
    <row r="249" spans="2:11" ht="15.75" customHeight="1" x14ac:dyDescent="0.4">
      <c r="B249" s="30"/>
      <c r="C249" s="31"/>
      <c r="D249" s="31"/>
      <c r="E249" s="32"/>
      <c r="F249" s="32"/>
      <c r="G249" s="32"/>
      <c r="H249" s="33"/>
      <c r="I249" s="32"/>
      <c r="J249" s="38"/>
      <c r="K249" s="33"/>
    </row>
    <row r="250" spans="2:11" ht="15.75" customHeight="1" x14ac:dyDescent="0.4">
      <c r="B250" s="30"/>
      <c r="C250" s="31"/>
      <c r="D250" s="31"/>
      <c r="E250" s="32"/>
      <c r="F250" s="32"/>
      <c r="G250" s="32"/>
      <c r="H250" s="33"/>
      <c r="I250" s="32"/>
      <c r="J250" s="38"/>
      <c r="K250" s="33"/>
    </row>
    <row r="251" spans="2:11" ht="15.75" customHeight="1" x14ac:dyDescent="0.4">
      <c r="B251" s="30"/>
      <c r="C251" s="31"/>
      <c r="D251" s="31"/>
      <c r="E251" s="32"/>
      <c r="F251" s="32"/>
      <c r="G251" s="32"/>
      <c r="H251" s="33"/>
      <c r="I251" s="32"/>
      <c r="J251" s="38"/>
      <c r="K251" s="33"/>
    </row>
    <row r="252" spans="2:11" ht="15.75" customHeight="1" x14ac:dyDescent="0.4">
      <c r="B252" s="30"/>
      <c r="C252" s="31"/>
      <c r="D252" s="31"/>
      <c r="E252" s="32"/>
      <c r="F252" s="32"/>
      <c r="G252" s="32"/>
      <c r="H252" s="33"/>
      <c r="I252" s="32"/>
      <c r="J252" s="38"/>
      <c r="K252" s="33"/>
    </row>
    <row r="253" spans="2:11" ht="15.75" customHeight="1" x14ac:dyDescent="0.4">
      <c r="B253" s="30"/>
      <c r="C253" s="31"/>
      <c r="D253" s="31"/>
      <c r="E253" s="32"/>
      <c r="F253" s="32"/>
      <c r="G253" s="32"/>
      <c r="H253" s="33"/>
      <c r="I253" s="32"/>
      <c r="J253" s="38"/>
      <c r="K253" s="33"/>
    </row>
    <row r="254" spans="2:11" ht="15.75" customHeight="1" x14ac:dyDescent="0.4">
      <c r="B254" s="30"/>
      <c r="C254" s="31"/>
      <c r="D254" s="31"/>
      <c r="E254" s="32"/>
      <c r="F254" s="32"/>
      <c r="G254" s="32"/>
      <c r="H254" s="33"/>
      <c r="I254" s="32"/>
      <c r="J254" s="38"/>
      <c r="K254" s="33"/>
    </row>
    <row r="255" spans="2:11" ht="15.75" customHeight="1" x14ac:dyDescent="0.4">
      <c r="B255" s="30"/>
      <c r="C255" s="31"/>
      <c r="D255" s="31"/>
      <c r="E255" s="32"/>
      <c r="F255" s="32"/>
      <c r="G255" s="32"/>
      <c r="H255" s="33"/>
      <c r="I255" s="32"/>
      <c r="J255" s="38"/>
      <c r="K255" s="33"/>
    </row>
    <row r="256" spans="2:11" ht="15.75" customHeight="1" x14ac:dyDescent="0.4">
      <c r="B256" s="30"/>
      <c r="C256" s="31"/>
      <c r="D256" s="31"/>
      <c r="E256" s="32"/>
      <c r="F256" s="32"/>
      <c r="G256" s="32"/>
      <c r="H256" s="33"/>
      <c r="I256" s="32"/>
      <c r="J256" s="38"/>
      <c r="K256" s="33"/>
    </row>
    <row r="257" spans="2:11" ht="15.75" customHeight="1" x14ac:dyDescent="0.4">
      <c r="B257" s="30"/>
      <c r="C257" s="31"/>
      <c r="D257" s="31"/>
      <c r="E257" s="32"/>
      <c r="F257" s="32"/>
      <c r="G257" s="32"/>
      <c r="H257" s="33"/>
      <c r="I257" s="32"/>
      <c r="J257" s="38"/>
      <c r="K257" s="33"/>
    </row>
    <row r="258" spans="2:11" ht="15.75" customHeight="1" x14ac:dyDescent="0.4">
      <c r="B258" s="30"/>
      <c r="C258" s="31"/>
      <c r="D258" s="31"/>
      <c r="E258" s="32"/>
      <c r="F258" s="32"/>
      <c r="G258" s="32"/>
      <c r="H258" s="33"/>
      <c r="I258" s="32"/>
      <c r="J258" s="38"/>
      <c r="K258" s="33"/>
    </row>
    <row r="259" spans="2:11" ht="15.75" customHeight="1" x14ac:dyDescent="0.4">
      <c r="B259" s="30"/>
      <c r="C259" s="31"/>
      <c r="D259" s="31"/>
      <c r="E259" s="32"/>
      <c r="F259" s="32"/>
      <c r="G259" s="32"/>
      <c r="H259" s="33"/>
      <c r="I259" s="32"/>
      <c r="J259" s="38"/>
      <c r="K259" s="33"/>
    </row>
    <row r="260" spans="2:11" ht="15.75" customHeight="1" x14ac:dyDescent="0.4">
      <c r="B260" s="30"/>
      <c r="C260" s="31"/>
      <c r="D260" s="31"/>
      <c r="E260" s="32"/>
      <c r="F260" s="32"/>
      <c r="G260" s="32"/>
      <c r="H260" s="33"/>
      <c r="I260" s="32"/>
      <c r="J260" s="38"/>
      <c r="K260" s="33"/>
    </row>
    <row r="261" spans="2:11" ht="15.75" customHeight="1" x14ac:dyDescent="0.4">
      <c r="B261" s="30"/>
      <c r="C261" s="31"/>
      <c r="D261" s="31"/>
      <c r="E261" s="32"/>
      <c r="F261" s="32"/>
      <c r="G261" s="32"/>
      <c r="H261" s="33"/>
      <c r="I261" s="32"/>
      <c r="J261" s="38"/>
      <c r="K261" s="33"/>
    </row>
    <row r="262" spans="2:11" ht="15.75" customHeight="1" x14ac:dyDescent="0.4">
      <c r="B262" s="30"/>
      <c r="C262" s="31"/>
      <c r="D262" s="31"/>
      <c r="E262" s="32"/>
      <c r="F262" s="32"/>
      <c r="G262" s="32"/>
      <c r="H262" s="33"/>
      <c r="I262" s="32"/>
      <c r="J262" s="38"/>
      <c r="K262" s="33"/>
    </row>
    <row r="263" spans="2:11" ht="15.75" customHeight="1" x14ac:dyDescent="0.4">
      <c r="B263" s="30"/>
      <c r="C263" s="31"/>
      <c r="D263" s="31"/>
      <c r="E263" s="32"/>
      <c r="F263" s="32"/>
      <c r="G263" s="32"/>
      <c r="H263" s="33"/>
      <c r="I263" s="32"/>
      <c r="J263" s="38"/>
      <c r="K263" s="33"/>
    </row>
    <row r="264" spans="2:11" ht="15.75" customHeight="1" x14ac:dyDescent="0.4">
      <c r="B264" s="30"/>
      <c r="C264" s="31"/>
      <c r="D264" s="31"/>
      <c r="E264" s="32"/>
      <c r="F264" s="32"/>
      <c r="G264" s="32"/>
      <c r="H264" s="33"/>
      <c r="I264" s="32"/>
      <c r="J264" s="38"/>
      <c r="K264" s="33"/>
    </row>
    <row r="265" spans="2:11" ht="15.75" customHeight="1" x14ac:dyDescent="0.4">
      <c r="B265" s="30"/>
      <c r="C265" s="31"/>
      <c r="D265" s="31"/>
      <c r="E265" s="32"/>
      <c r="F265" s="32"/>
      <c r="G265" s="32"/>
      <c r="H265" s="33"/>
      <c r="I265" s="32"/>
      <c r="J265" s="38"/>
      <c r="K265" s="33"/>
    </row>
    <row r="266" spans="2:11" ht="15.75" customHeight="1" x14ac:dyDescent="0.4">
      <c r="B266" s="30"/>
      <c r="C266" s="31"/>
      <c r="D266" s="31"/>
      <c r="E266" s="32"/>
      <c r="F266" s="32"/>
      <c r="G266" s="32"/>
      <c r="H266" s="33"/>
      <c r="I266" s="32"/>
      <c r="J266" s="38"/>
      <c r="K266" s="33"/>
    </row>
    <row r="267" spans="2:11" ht="15.75" customHeight="1" x14ac:dyDescent="0.4">
      <c r="B267" s="30"/>
      <c r="C267" s="31"/>
      <c r="D267" s="31"/>
      <c r="E267" s="32"/>
      <c r="F267" s="32"/>
      <c r="G267" s="32"/>
      <c r="H267" s="33"/>
      <c r="I267" s="32"/>
      <c r="J267" s="38"/>
      <c r="K267" s="33"/>
    </row>
    <row r="268" spans="2:11" ht="15.75" customHeight="1" x14ac:dyDescent="0.4">
      <c r="B268" s="30"/>
      <c r="C268" s="31"/>
      <c r="D268" s="31"/>
      <c r="E268" s="32"/>
      <c r="F268" s="32"/>
      <c r="G268" s="32"/>
      <c r="H268" s="33"/>
      <c r="I268" s="32"/>
      <c r="J268" s="38"/>
      <c r="K268" s="33"/>
    </row>
    <row r="269" spans="2:11" ht="15.75" customHeight="1" x14ac:dyDescent="0.4">
      <c r="B269" s="30"/>
      <c r="C269" s="31"/>
      <c r="D269" s="31"/>
      <c r="E269" s="32"/>
      <c r="F269" s="32"/>
      <c r="G269" s="32"/>
      <c r="H269" s="33"/>
      <c r="I269" s="32"/>
      <c r="J269" s="38"/>
      <c r="K269" s="33"/>
    </row>
    <row r="270" spans="2:11" ht="15.75" customHeight="1" x14ac:dyDescent="0.4">
      <c r="B270" s="30"/>
      <c r="C270" s="31"/>
      <c r="D270" s="31"/>
      <c r="E270" s="32"/>
      <c r="F270" s="32"/>
      <c r="G270" s="32"/>
      <c r="H270" s="33"/>
      <c r="I270" s="32"/>
      <c r="J270" s="38"/>
      <c r="K270" s="33"/>
    </row>
    <row r="271" spans="2:11" ht="15.75" customHeight="1" x14ac:dyDescent="0.4">
      <c r="B271" s="30"/>
      <c r="C271" s="31"/>
      <c r="D271" s="31"/>
      <c r="E271" s="32"/>
      <c r="F271" s="32"/>
      <c r="G271" s="32"/>
      <c r="H271" s="33"/>
      <c r="I271" s="32"/>
      <c r="J271" s="38"/>
      <c r="K271" s="33"/>
    </row>
    <row r="272" spans="2:11" ht="15.75" customHeight="1" x14ac:dyDescent="0.4">
      <c r="B272" s="30"/>
      <c r="C272" s="31"/>
      <c r="D272" s="31"/>
      <c r="E272" s="32"/>
      <c r="F272" s="32"/>
      <c r="G272" s="32"/>
      <c r="H272" s="33"/>
      <c r="I272" s="32"/>
      <c r="J272" s="38"/>
      <c r="K272" s="33"/>
    </row>
    <row r="273" spans="2:11" ht="15.75" customHeight="1" x14ac:dyDescent="0.4">
      <c r="B273" s="30"/>
      <c r="C273" s="31"/>
      <c r="D273" s="31"/>
      <c r="E273" s="32"/>
      <c r="F273" s="32"/>
      <c r="G273" s="32"/>
      <c r="H273" s="33"/>
      <c r="I273" s="32"/>
      <c r="J273" s="38"/>
      <c r="K273" s="33"/>
    </row>
    <row r="274" spans="2:11" ht="15.75" customHeight="1" x14ac:dyDescent="0.4">
      <c r="B274" s="30"/>
      <c r="C274" s="31"/>
      <c r="D274" s="31"/>
      <c r="E274" s="32"/>
      <c r="F274" s="32"/>
      <c r="G274" s="32"/>
      <c r="H274" s="33"/>
      <c r="I274" s="32"/>
      <c r="J274" s="38"/>
      <c r="K274" s="33"/>
    </row>
    <row r="275" spans="2:11" ht="15.75" customHeight="1" x14ac:dyDescent="0.4">
      <c r="B275" s="30"/>
      <c r="C275" s="31"/>
      <c r="D275" s="31"/>
      <c r="E275" s="32"/>
      <c r="F275" s="32"/>
      <c r="G275" s="32"/>
      <c r="H275" s="33"/>
      <c r="I275" s="32"/>
      <c r="J275" s="38"/>
      <c r="K275" s="33"/>
    </row>
    <row r="276" spans="2:11" ht="15.75" customHeight="1" x14ac:dyDescent="0.4">
      <c r="B276" s="30"/>
      <c r="C276" s="31"/>
      <c r="D276" s="31"/>
      <c r="E276" s="32"/>
      <c r="F276" s="32"/>
      <c r="G276" s="32"/>
      <c r="H276" s="33"/>
      <c r="I276" s="32"/>
      <c r="J276" s="38"/>
      <c r="K276" s="33"/>
    </row>
    <row r="277" spans="2:11" ht="15.75" customHeight="1" x14ac:dyDescent="0.4">
      <c r="B277" s="30"/>
      <c r="C277" s="31"/>
      <c r="D277" s="31"/>
      <c r="E277" s="32"/>
      <c r="F277" s="32"/>
      <c r="G277" s="32"/>
      <c r="H277" s="33"/>
      <c r="I277" s="32"/>
      <c r="J277" s="38"/>
      <c r="K277" s="33"/>
    </row>
    <row r="278" spans="2:11" ht="15.75" customHeight="1" x14ac:dyDescent="0.4">
      <c r="B278" s="30"/>
      <c r="C278" s="31"/>
      <c r="D278" s="31"/>
      <c r="E278" s="32"/>
      <c r="F278" s="32"/>
      <c r="G278" s="32"/>
      <c r="H278" s="33"/>
      <c r="I278" s="32"/>
      <c r="J278" s="38"/>
      <c r="K278" s="33"/>
    </row>
    <row r="279" spans="2:11" ht="15.75" customHeight="1" x14ac:dyDescent="0.4">
      <c r="B279" s="30"/>
      <c r="C279" s="31"/>
      <c r="D279" s="31"/>
      <c r="E279" s="32"/>
      <c r="F279" s="32"/>
      <c r="G279" s="32"/>
      <c r="H279" s="33"/>
      <c r="I279" s="32"/>
      <c r="J279" s="38"/>
      <c r="K279" s="33"/>
    </row>
    <row r="280" spans="2:11" ht="15.75" customHeight="1" x14ac:dyDescent="0.4">
      <c r="B280" s="30"/>
      <c r="C280" s="31"/>
      <c r="D280" s="31"/>
      <c r="E280" s="32"/>
      <c r="F280" s="32"/>
      <c r="G280" s="32"/>
      <c r="H280" s="33"/>
      <c r="I280" s="32"/>
      <c r="J280" s="38"/>
      <c r="K280" s="33"/>
    </row>
    <row r="281" spans="2:11" ht="15.75" customHeight="1" x14ac:dyDescent="0.4">
      <c r="B281" s="30"/>
      <c r="C281" s="31"/>
      <c r="D281" s="31"/>
      <c r="E281" s="32"/>
      <c r="F281" s="32"/>
      <c r="G281" s="32"/>
      <c r="H281" s="33"/>
      <c r="I281" s="32"/>
      <c r="J281" s="38"/>
      <c r="K281" s="33"/>
    </row>
    <row r="282" spans="2:11" ht="15.75" customHeight="1" x14ac:dyDescent="0.4">
      <c r="B282" s="30"/>
      <c r="C282" s="31"/>
      <c r="D282" s="31"/>
      <c r="E282" s="32"/>
      <c r="F282" s="32"/>
      <c r="G282" s="32"/>
      <c r="H282" s="33"/>
      <c r="I282" s="32"/>
      <c r="J282" s="38"/>
      <c r="K282" s="33"/>
    </row>
    <row r="283" spans="2:11" ht="15.75" customHeight="1" x14ac:dyDescent="0.4">
      <c r="B283" s="30"/>
      <c r="C283" s="31"/>
      <c r="D283" s="31"/>
      <c r="E283" s="32"/>
      <c r="F283" s="32"/>
      <c r="G283" s="32"/>
      <c r="H283" s="33"/>
      <c r="I283" s="32"/>
      <c r="J283" s="38"/>
      <c r="K283" s="33"/>
    </row>
  </sheetData>
  <mergeCells count="49">
    <mergeCell ref="B8:K8"/>
    <mergeCell ref="B2:K2"/>
    <mergeCell ref="B3:K3"/>
    <mergeCell ref="B4:K4"/>
    <mergeCell ref="B5:K5"/>
    <mergeCell ref="B6:K6"/>
    <mergeCell ref="I7:K7"/>
    <mergeCell ref="B16:B17"/>
    <mergeCell ref="C16:D16"/>
    <mergeCell ref="E16:F16"/>
    <mergeCell ref="H16:H17"/>
    <mergeCell ref="J16:J17"/>
    <mergeCell ref="K16:K17"/>
    <mergeCell ref="C17:D17"/>
    <mergeCell ref="C18:D18"/>
    <mergeCell ref="C10:E10"/>
    <mergeCell ref="H14:K14"/>
    <mergeCell ref="C13:E13"/>
    <mergeCell ref="C14:E14"/>
    <mergeCell ref="C15:E15"/>
    <mergeCell ref="C11:D11"/>
    <mergeCell ref="H13:K13"/>
    <mergeCell ref="J11:K11"/>
    <mergeCell ref="C19:D19"/>
    <mergeCell ref="C20:D20"/>
    <mergeCell ref="C21:D21"/>
    <mergeCell ref="C22:D22"/>
    <mergeCell ref="C23:D23"/>
    <mergeCell ref="B20:B22"/>
    <mergeCell ref="B36:G36"/>
    <mergeCell ref="C34:D34"/>
    <mergeCell ref="J37:K37"/>
    <mergeCell ref="C24:D24"/>
    <mergeCell ref="C25:D25"/>
    <mergeCell ref="C26:D26"/>
    <mergeCell ref="C27:D27"/>
    <mergeCell ref="C35:D35"/>
    <mergeCell ref="C33:D33"/>
    <mergeCell ref="C28:D28"/>
    <mergeCell ref="C30:D30"/>
    <mergeCell ref="C32:D32"/>
    <mergeCell ref="B47:E47"/>
    <mergeCell ref="F47:K47"/>
    <mergeCell ref="F40:K40"/>
    <mergeCell ref="F41:K41"/>
    <mergeCell ref="F42:K42"/>
    <mergeCell ref="B46:E46"/>
    <mergeCell ref="F46:K46"/>
    <mergeCell ref="B38:E42"/>
  </mergeCells>
  <phoneticPr fontId="38" type="noConversion"/>
  <pageMargins left="0.4" right="0.25" top="0.75" bottom="0.75" header="0.3" footer="0.3"/>
  <pageSetup paperSize="9" scale="4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67E8-9587-4708-852A-8A2A90367459}">
  <dimension ref="A1:K49"/>
  <sheetViews>
    <sheetView view="pageBreakPreview" zoomScaleNormal="100" zoomScaleSheetLayoutView="100" workbookViewId="0">
      <selection activeCell="E59" sqref="E59"/>
    </sheetView>
  </sheetViews>
  <sheetFormatPr defaultColWidth="0" defaultRowHeight="14.25" x14ac:dyDescent="0.45"/>
  <cols>
    <col min="1" max="1" width="8.59765625" customWidth="1"/>
    <col min="2" max="2" width="9.06640625" customWidth="1"/>
    <col min="3" max="3" width="5.73046875" customWidth="1"/>
    <col min="4" max="4" width="10.265625" customWidth="1"/>
    <col min="5" max="5" width="16.9296875" customWidth="1"/>
    <col min="6" max="6" width="5" hidden="1" customWidth="1"/>
    <col min="7" max="7" width="9.06640625" customWidth="1"/>
    <col min="8" max="8" width="11.19921875" customWidth="1"/>
    <col min="9" max="9" width="16.9296875" customWidth="1"/>
    <col min="10" max="10" width="6" customWidth="1"/>
    <col min="11" max="11" width="9.06640625" customWidth="1"/>
    <col min="12" max="16384" width="9.06640625" hidden="1"/>
  </cols>
  <sheetData>
    <row r="1" spans="2:10" ht="40.049999999999997" customHeight="1" x14ac:dyDescent="0.45"/>
    <row r="2" spans="2:10" ht="14.25" customHeight="1" x14ac:dyDescent="0.45">
      <c r="B2" s="580" t="s">
        <v>109</v>
      </c>
      <c r="C2" s="580"/>
      <c r="D2" s="580"/>
      <c r="E2" s="580"/>
      <c r="F2" s="580"/>
      <c r="G2" s="580"/>
      <c r="H2" s="580"/>
      <c r="I2" s="580"/>
      <c r="J2" s="580"/>
    </row>
    <row r="3" spans="2:10" x14ac:dyDescent="0.45">
      <c r="B3" s="126"/>
      <c r="C3" s="126"/>
      <c r="D3" s="126"/>
      <c r="E3" s="126"/>
      <c r="F3" s="126"/>
      <c r="G3" s="126"/>
      <c r="H3" s="126"/>
      <c r="I3" s="126"/>
      <c r="J3" s="126"/>
    </row>
    <row r="4" spans="2:10" ht="15" customHeight="1" x14ac:dyDescent="0.45">
      <c r="B4" s="589" t="s">
        <v>110</v>
      </c>
      <c r="C4" s="589"/>
      <c r="D4" s="589"/>
      <c r="E4" s="589"/>
      <c r="F4" s="589"/>
      <c r="G4" s="589"/>
      <c r="H4" s="589"/>
      <c r="I4" s="589"/>
      <c r="J4" s="589"/>
    </row>
    <row r="5" spans="2:10" x14ac:dyDescent="0.45">
      <c r="B5" s="126"/>
      <c r="C5" s="126"/>
      <c r="D5" s="126"/>
      <c r="E5" s="126"/>
      <c r="F5" s="126"/>
      <c r="G5" s="126"/>
      <c r="H5" s="126"/>
      <c r="I5" s="126"/>
      <c r="J5" s="126"/>
    </row>
    <row r="6" spans="2:10" x14ac:dyDescent="0.45">
      <c r="B6" s="126"/>
      <c r="C6" s="126"/>
      <c r="D6" s="126"/>
      <c r="E6" s="126"/>
      <c r="F6" s="126"/>
      <c r="G6" s="126"/>
      <c r="H6" s="126"/>
      <c r="I6" s="126"/>
      <c r="J6" s="126"/>
    </row>
    <row r="7" spans="2:10" s="214" customFormat="1" ht="14.35" customHeight="1" thickBot="1" x14ac:dyDescent="0.5">
      <c r="B7" s="127" t="s">
        <v>150</v>
      </c>
      <c r="C7" s="212"/>
      <c r="D7" s="588" t="str">
        <f>Input!C7</f>
        <v>Department of Agriculture Regional Field Office XIII</v>
      </c>
      <c r="E7" s="588"/>
      <c r="F7" s="588"/>
      <c r="G7" s="588"/>
      <c r="H7" s="588"/>
      <c r="I7" s="221" t="s">
        <v>143</v>
      </c>
      <c r="J7" s="213">
        <f>Input!C8</f>
        <v>1</v>
      </c>
    </row>
    <row r="8" spans="2:10" x14ac:dyDescent="0.45">
      <c r="B8" s="126"/>
      <c r="C8" s="126"/>
      <c r="D8" s="126"/>
      <c r="E8" s="126"/>
      <c r="F8" s="126"/>
      <c r="G8" s="126"/>
      <c r="H8" s="126"/>
      <c r="I8" s="126"/>
      <c r="J8" s="126"/>
    </row>
    <row r="9" spans="2:10" x14ac:dyDescent="0.45">
      <c r="B9" s="126"/>
      <c r="C9" s="126"/>
      <c r="D9" s="126"/>
      <c r="E9" s="126"/>
      <c r="F9" s="126"/>
      <c r="G9" s="126"/>
      <c r="H9" s="126"/>
      <c r="I9" s="126"/>
      <c r="J9" s="126"/>
    </row>
    <row r="10" spans="2:10" ht="14.65" thickBot="1" x14ac:dyDescent="0.5">
      <c r="B10" s="126"/>
      <c r="C10" s="126"/>
      <c r="D10" s="126"/>
      <c r="E10" s="126"/>
      <c r="F10" s="126"/>
      <c r="G10" s="126"/>
      <c r="H10" s="126"/>
      <c r="I10" s="126"/>
      <c r="J10" s="126"/>
    </row>
    <row r="11" spans="2:10" ht="15.75" thickBot="1" x14ac:dyDescent="0.5">
      <c r="B11" s="591" t="str">
        <f>UPPER(Input!C20)</f>
        <v>ENGR. RICARDO M. OÑATE JR.</v>
      </c>
      <c r="C11" s="591"/>
      <c r="D11" s="591"/>
      <c r="E11" s="591"/>
      <c r="F11" s="591" t="str">
        <f>UPPER(Input!C9)</f>
        <v>FIELD OPERATIONS DIVISION</v>
      </c>
      <c r="G11" s="591"/>
      <c r="H11" s="591"/>
      <c r="I11" s="591"/>
      <c r="J11" s="591"/>
    </row>
    <row r="12" spans="2:10" ht="15.75" thickBot="1" x14ac:dyDescent="0.5">
      <c r="B12" s="592" t="s">
        <v>124</v>
      </c>
      <c r="C12" s="592"/>
      <c r="D12" s="592"/>
      <c r="E12" s="592"/>
      <c r="F12" s="593" t="s">
        <v>111</v>
      </c>
      <c r="G12" s="593"/>
      <c r="H12" s="593"/>
      <c r="I12" s="593"/>
      <c r="J12" s="593"/>
    </row>
    <row r="13" spans="2:10" ht="14" customHeight="1" x14ac:dyDescent="0.45">
      <c r="B13" s="126"/>
      <c r="C13" s="126"/>
      <c r="D13" s="126"/>
      <c r="E13" s="126"/>
      <c r="F13" s="126"/>
      <c r="G13" s="126"/>
      <c r="H13" s="126"/>
      <c r="I13" s="126"/>
      <c r="J13" s="126"/>
    </row>
    <row r="14" spans="2:10" ht="14" customHeight="1" x14ac:dyDescent="0.45">
      <c r="B14" s="126"/>
      <c r="C14" s="126"/>
      <c r="D14" s="126"/>
      <c r="E14" s="126"/>
      <c r="F14" s="126"/>
      <c r="G14" s="126"/>
      <c r="H14" s="126"/>
      <c r="I14" s="126"/>
      <c r="J14" s="126"/>
    </row>
    <row r="15" spans="2:10" ht="14" customHeight="1" x14ac:dyDescent="0.45">
      <c r="B15" s="587" t="str">
        <f>"I HEREBY CERTIFY THAT I have completed the travel as authorized in Travel Order/Itinerary of Travel Nos. " &amp; Input!C14 &amp; ", dated " &amp; TEXT(Input!C13, "mmmm d, yyyy") &amp; " under the conditions indicated below:"</f>
        <v>I HEREBY CERTIFY THAT I have completed the travel as authorized in Travel Order/Itinerary of Travel Nos. 0926-0573, 0926-1268, and 0926-1522, dated Sept. 8-10, Sept. 15-17, and Sept. 22-24, 2026 under the conditions indicated below:</v>
      </c>
      <c r="C15" s="587"/>
      <c r="D15" s="587"/>
      <c r="E15" s="587"/>
      <c r="F15" s="587"/>
      <c r="G15" s="587"/>
      <c r="H15" s="587"/>
      <c r="I15" s="587"/>
      <c r="J15" s="587"/>
    </row>
    <row r="16" spans="2:10" ht="14" customHeight="1" x14ac:dyDescent="0.45">
      <c r="B16" s="587"/>
      <c r="C16" s="587"/>
      <c r="D16" s="587"/>
      <c r="E16" s="587"/>
      <c r="F16" s="587"/>
      <c r="G16" s="587"/>
      <c r="H16" s="587"/>
      <c r="I16" s="587"/>
      <c r="J16" s="587"/>
    </row>
    <row r="17" spans="2:10" ht="14" customHeight="1" x14ac:dyDescent="0.45">
      <c r="B17" s="587"/>
      <c r="C17" s="587"/>
      <c r="D17" s="587"/>
      <c r="E17" s="587"/>
      <c r="F17" s="587"/>
      <c r="G17" s="587"/>
      <c r="H17" s="587"/>
      <c r="I17" s="587"/>
      <c r="J17" s="587"/>
    </row>
    <row r="18" spans="2:10" ht="14" customHeight="1" x14ac:dyDescent="0.45">
      <c r="B18" s="199"/>
      <c r="C18" s="199"/>
      <c r="D18" s="199"/>
      <c r="E18" s="199"/>
      <c r="F18" s="199"/>
      <c r="G18" s="199"/>
      <c r="H18" s="199"/>
      <c r="I18" s="199"/>
      <c r="J18" s="199"/>
    </row>
    <row r="19" spans="2:10" ht="14" customHeight="1" x14ac:dyDescent="0.45">
      <c r="B19" s="594" t="s">
        <v>144</v>
      </c>
      <c r="C19" s="594"/>
      <c r="D19" s="594"/>
      <c r="E19" s="594"/>
      <c r="F19" s="594"/>
      <c r="G19" s="594"/>
      <c r="H19" s="594"/>
      <c r="I19" s="594"/>
      <c r="J19" s="594"/>
    </row>
    <row r="20" spans="2:10" ht="14" customHeight="1" x14ac:dyDescent="0.45">
      <c r="B20" s="594" t="s">
        <v>145</v>
      </c>
      <c r="C20" s="594"/>
      <c r="D20" s="594"/>
      <c r="E20" s="594"/>
      <c r="F20" s="594"/>
      <c r="G20" s="594"/>
      <c r="H20" s="594"/>
      <c r="I20" s="594"/>
      <c r="J20" s="594"/>
    </row>
    <row r="21" spans="2:10" ht="14" customHeight="1" x14ac:dyDescent="0.45">
      <c r="B21" s="594" t="s">
        <v>147</v>
      </c>
      <c r="C21" s="594"/>
      <c r="D21" s="594"/>
      <c r="E21" s="594"/>
      <c r="F21" s="594"/>
      <c r="G21" s="594"/>
      <c r="H21" s="594"/>
      <c r="I21" s="594"/>
      <c r="J21" s="594"/>
    </row>
    <row r="22" spans="2:10" ht="14" customHeight="1" x14ac:dyDescent="0.45">
      <c r="B22" s="594" t="s">
        <v>148</v>
      </c>
      <c r="C22" s="594"/>
      <c r="D22" s="594"/>
      <c r="E22" s="594"/>
      <c r="F22" s="594"/>
      <c r="G22" s="594"/>
      <c r="H22" s="594"/>
      <c r="I22" s="594"/>
      <c r="J22" s="594"/>
    </row>
    <row r="23" spans="2:10" ht="14" customHeight="1" x14ac:dyDescent="0.45">
      <c r="B23" s="594" t="s">
        <v>146</v>
      </c>
      <c r="C23" s="594"/>
      <c r="D23" s="594"/>
      <c r="E23" s="594"/>
      <c r="F23" s="594"/>
      <c r="G23" s="594"/>
      <c r="H23" s="594"/>
      <c r="I23" s="594"/>
      <c r="J23" s="594"/>
    </row>
    <row r="24" spans="2:10" ht="14" customHeight="1" x14ac:dyDescent="0.45">
      <c r="B24" s="590"/>
      <c r="C24" s="590"/>
      <c r="D24" s="590"/>
      <c r="E24" s="590"/>
      <c r="F24" s="590"/>
      <c r="G24" s="590"/>
      <c r="H24" s="590"/>
      <c r="I24" s="590"/>
      <c r="J24" s="590"/>
    </row>
    <row r="25" spans="2:10" ht="14" customHeight="1" x14ac:dyDescent="0.45">
      <c r="B25" s="596" t="s">
        <v>134</v>
      </c>
      <c r="C25" s="596"/>
      <c r="D25" s="596"/>
      <c r="E25" s="596"/>
      <c r="F25" s="596"/>
      <c r="G25" s="596"/>
      <c r="H25" s="596"/>
      <c r="I25" s="596"/>
      <c r="J25" s="596"/>
    </row>
    <row r="26" spans="2:10" ht="14" customHeight="1" thickBot="1" x14ac:dyDescent="0.5">
      <c r="B26" s="598"/>
      <c r="C26" s="598"/>
      <c r="D26" s="598"/>
      <c r="E26" s="598"/>
      <c r="F26" s="598"/>
      <c r="G26" s="598"/>
      <c r="H26" s="598"/>
      <c r="I26" s="598"/>
      <c r="J26" s="598"/>
    </row>
    <row r="27" spans="2:10" ht="14.65" thickBot="1" x14ac:dyDescent="0.5">
      <c r="B27" s="599"/>
      <c r="C27" s="599"/>
      <c r="D27" s="599"/>
      <c r="E27" s="599"/>
      <c r="F27" s="599"/>
      <c r="G27" s="599"/>
      <c r="H27" s="599"/>
      <c r="I27" s="599"/>
      <c r="J27" s="599"/>
    </row>
    <row r="28" spans="2:10" x14ac:dyDescent="0.45">
      <c r="B28" s="129"/>
      <c r="C28" s="129"/>
      <c r="D28" s="129"/>
      <c r="E28" s="129"/>
      <c r="F28" s="129"/>
      <c r="G28" s="129"/>
      <c r="H28" s="129"/>
      <c r="I28" s="129"/>
      <c r="J28" s="129"/>
    </row>
    <row r="29" spans="2:10" ht="15.4" x14ac:dyDescent="0.45">
      <c r="B29" s="597" t="s">
        <v>135</v>
      </c>
      <c r="C29" s="597"/>
      <c r="D29" s="597"/>
      <c r="E29" s="597"/>
      <c r="F29" s="128"/>
      <c r="G29" s="128"/>
      <c r="H29" s="128"/>
      <c r="I29" s="128"/>
      <c r="J29" s="128"/>
    </row>
    <row r="30" spans="2:10" ht="15.75" customHeight="1" thickBot="1" x14ac:dyDescent="0.5">
      <c r="B30" s="595" t="str">
        <f>Input!C15</f>
        <v>Approved Itinerary of Travel, Approved Travel Order, Bus Tickets, Certificate of Appearance</v>
      </c>
      <c r="C30" s="595"/>
      <c r="D30" s="595"/>
      <c r="E30" s="595"/>
      <c r="F30" s="595"/>
      <c r="G30" s="595"/>
      <c r="H30" s="595"/>
      <c r="I30" s="595"/>
      <c r="J30" s="595"/>
    </row>
    <row r="31" spans="2:10" ht="14.65" customHeight="1" x14ac:dyDescent="0.45">
      <c r="B31" s="126"/>
      <c r="C31" s="126"/>
      <c r="D31" s="126"/>
      <c r="E31" s="126"/>
      <c r="F31" s="126"/>
      <c r="G31" s="126"/>
      <c r="H31" s="126"/>
      <c r="I31" s="126"/>
      <c r="J31" s="126"/>
    </row>
    <row r="32" spans="2:10" ht="15.75" customHeight="1" x14ac:dyDescent="0.45">
      <c r="B32" s="126"/>
      <c r="C32" s="126"/>
      <c r="D32" s="126"/>
      <c r="E32" s="126"/>
      <c r="F32" s="126"/>
      <c r="G32" s="587" t="s">
        <v>112</v>
      </c>
      <c r="H32" s="587"/>
      <c r="I32" s="587"/>
      <c r="J32" s="587"/>
    </row>
    <row r="33" spans="2:10" x14ac:dyDescent="0.45">
      <c r="B33" s="126"/>
      <c r="C33" s="126"/>
      <c r="D33" s="126"/>
      <c r="E33" s="126"/>
      <c r="F33" s="126"/>
      <c r="G33" s="126"/>
      <c r="H33" s="126"/>
      <c r="I33" s="126"/>
      <c r="J33" s="126"/>
    </row>
    <row r="34" spans="2:10" x14ac:dyDescent="0.45">
      <c r="B34" s="126"/>
      <c r="C34" s="126"/>
      <c r="D34" s="126"/>
      <c r="E34" s="126"/>
      <c r="F34" s="126"/>
      <c r="G34" s="126"/>
      <c r="H34" s="126"/>
      <c r="I34" s="126"/>
      <c r="J34" s="126"/>
    </row>
    <row r="35" spans="2:10" x14ac:dyDescent="0.45">
      <c r="B35" s="126"/>
      <c r="C35" s="126"/>
      <c r="D35" s="126"/>
      <c r="E35" s="126"/>
      <c r="F35" s="126"/>
      <c r="G35" s="126"/>
      <c r="H35" s="126"/>
      <c r="I35" s="126"/>
      <c r="J35" s="126"/>
    </row>
    <row r="36" spans="2:10" ht="15.4" x14ac:dyDescent="0.45">
      <c r="B36" s="586" t="str">
        <f>UPPER(Input!C2)</f>
        <v>JAMES E. ROSALES</v>
      </c>
      <c r="C36" s="586"/>
      <c r="D36" s="586"/>
      <c r="E36" s="586"/>
      <c r="F36" s="586"/>
      <c r="G36" s="586"/>
      <c r="H36" s="586"/>
      <c r="I36" s="586"/>
      <c r="J36" s="586"/>
    </row>
    <row r="37" spans="2:10" ht="15.75" customHeight="1" x14ac:dyDescent="0.45">
      <c r="B37" s="585" t="s">
        <v>153</v>
      </c>
      <c r="C37" s="585"/>
      <c r="D37" s="585"/>
      <c r="E37" s="585"/>
      <c r="F37" s="585"/>
      <c r="G37" s="585"/>
      <c r="H37" s="585"/>
      <c r="I37" s="585"/>
      <c r="J37" s="585"/>
    </row>
    <row r="38" spans="2:10" x14ac:dyDescent="0.45">
      <c r="B38" s="581" t="s">
        <v>149</v>
      </c>
      <c r="C38" s="581"/>
      <c r="D38" s="581"/>
      <c r="E38" s="581"/>
      <c r="F38" s="581"/>
      <c r="G38" s="581"/>
      <c r="H38" s="581"/>
      <c r="I38" s="581"/>
      <c r="J38" s="581"/>
    </row>
    <row r="39" spans="2:10" x14ac:dyDescent="0.45">
      <c r="B39" s="581"/>
      <c r="C39" s="581"/>
      <c r="D39" s="581"/>
      <c r="E39" s="581"/>
      <c r="F39" s="581"/>
      <c r="G39" s="581"/>
      <c r="H39" s="581"/>
      <c r="I39" s="581"/>
      <c r="J39" s="581"/>
    </row>
    <row r="40" spans="2:10" x14ac:dyDescent="0.45">
      <c r="B40" s="581"/>
      <c r="C40" s="581"/>
      <c r="D40" s="581"/>
      <c r="E40" s="581"/>
      <c r="F40" s="581"/>
      <c r="G40" s="581"/>
      <c r="H40" s="581"/>
      <c r="I40" s="581"/>
      <c r="J40" s="581"/>
    </row>
    <row r="41" spans="2:10" x14ac:dyDescent="0.45">
      <c r="B41" s="581"/>
      <c r="C41" s="581"/>
      <c r="D41" s="581"/>
      <c r="E41" s="581"/>
      <c r="F41" s="581"/>
      <c r="G41" s="581"/>
      <c r="H41" s="581"/>
      <c r="I41" s="581"/>
      <c r="J41" s="581"/>
    </row>
    <row r="42" spans="2:10" x14ac:dyDescent="0.45">
      <c r="B42" s="581"/>
      <c r="C42" s="581"/>
      <c r="D42" s="581"/>
      <c r="E42" s="581"/>
      <c r="F42" s="581"/>
      <c r="G42" s="581"/>
      <c r="H42" s="581"/>
      <c r="I42" s="581"/>
      <c r="J42" s="581"/>
    </row>
    <row r="43" spans="2:10" x14ac:dyDescent="0.45">
      <c r="B43" s="581"/>
      <c r="C43" s="581"/>
      <c r="D43" s="581"/>
      <c r="E43" s="581"/>
      <c r="F43" s="581"/>
      <c r="G43" s="581"/>
      <c r="H43" s="581"/>
      <c r="I43" s="581"/>
      <c r="J43" s="581"/>
    </row>
    <row r="44" spans="2:10" ht="15.4" x14ac:dyDescent="0.45">
      <c r="B44" s="126"/>
      <c r="C44" s="126"/>
      <c r="D44" s="126"/>
      <c r="E44" s="126"/>
      <c r="F44" s="126"/>
      <c r="G44" s="587" t="s">
        <v>151</v>
      </c>
      <c r="H44" s="587"/>
      <c r="I44" s="587"/>
      <c r="J44" s="587"/>
    </row>
    <row r="45" spans="2:10" x14ac:dyDescent="0.45">
      <c r="B45" s="582"/>
      <c r="C45" s="582"/>
      <c r="D45" s="582"/>
      <c r="E45" s="582"/>
      <c r="F45" s="582"/>
      <c r="G45" s="582"/>
      <c r="H45" s="582"/>
      <c r="I45" s="582"/>
      <c r="J45" s="582"/>
    </row>
    <row r="46" spans="2:10" x14ac:dyDescent="0.45">
      <c r="B46" s="582"/>
      <c r="C46" s="582"/>
      <c r="D46" s="582"/>
      <c r="E46" s="582"/>
      <c r="F46" s="582"/>
      <c r="G46" s="582"/>
      <c r="H46" s="582"/>
      <c r="I46" s="582"/>
      <c r="J46" s="582"/>
    </row>
    <row r="47" spans="2:10" x14ac:dyDescent="0.45">
      <c r="B47" s="582"/>
      <c r="C47" s="582"/>
      <c r="D47" s="582"/>
      <c r="E47" s="582"/>
      <c r="F47" s="582"/>
      <c r="G47" s="582"/>
      <c r="H47" s="582"/>
      <c r="I47" s="582"/>
      <c r="J47" s="582"/>
    </row>
    <row r="48" spans="2:10" s="215" customFormat="1" ht="15" customHeight="1" x14ac:dyDescent="0.45">
      <c r="B48" s="583" t="str">
        <f>UPPER(Input!C16)</f>
        <v>MELODY M. GUIMARY</v>
      </c>
      <c r="C48" s="584"/>
      <c r="D48" s="584"/>
      <c r="E48" s="584"/>
      <c r="F48" s="584"/>
      <c r="G48" s="584"/>
      <c r="H48" s="584"/>
      <c r="I48" s="584"/>
      <c r="J48" s="584"/>
    </row>
    <row r="49" spans="2:10" s="215" customFormat="1" ht="15.4" customHeight="1" x14ac:dyDescent="0.45">
      <c r="B49" s="585" t="s">
        <v>152</v>
      </c>
      <c r="C49" s="584"/>
      <c r="D49" s="584"/>
      <c r="E49" s="584"/>
      <c r="F49" s="584"/>
      <c r="G49" s="584"/>
      <c r="H49" s="584"/>
      <c r="I49" s="584"/>
      <c r="J49" s="584"/>
    </row>
  </sheetData>
  <mergeCells count="27">
    <mergeCell ref="B30:J30"/>
    <mergeCell ref="B23:J23"/>
    <mergeCell ref="B25:J25"/>
    <mergeCell ref="B29:E29"/>
    <mergeCell ref="B26:J26"/>
    <mergeCell ref="B27:J27"/>
    <mergeCell ref="F12:J12"/>
    <mergeCell ref="B19:J19"/>
    <mergeCell ref="B20:J20"/>
    <mergeCell ref="B21:J21"/>
    <mergeCell ref="B22:J22"/>
    <mergeCell ref="B2:J2"/>
    <mergeCell ref="B38:J43"/>
    <mergeCell ref="B45:J47"/>
    <mergeCell ref="B48:J48"/>
    <mergeCell ref="B49:J49"/>
    <mergeCell ref="B36:J36"/>
    <mergeCell ref="B37:J37"/>
    <mergeCell ref="G32:J32"/>
    <mergeCell ref="G44:J44"/>
    <mergeCell ref="D7:H7"/>
    <mergeCell ref="B4:J4"/>
    <mergeCell ref="B15:J17"/>
    <mergeCell ref="B24:J24"/>
    <mergeCell ref="B11:E11"/>
    <mergeCell ref="F11:J11"/>
    <mergeCell ref="B12:E1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00ED1-0D15-4DC0-AEFB-7766EC6C6A8E}">
  <sheetPr>
    <pageSetUpPr fitToPage="1"/>
  </sheetPr>
  <dimension ref="A1:L53"/>
  <sheetViews>
    <sheetView view="pageBreakPreview" topLeftCell="A7" zoomScaleNormal="100" zoomScaleSheetLayoutView="100" workbookViewId="0">
      <selection activeCell="E59" sqref="E59"/>
    </sheetView>
  </sheetViews>
  <sheetFormatPr defaultColWidth="0" defaultRowHeight="15" x14ac:dyDescent="0.4"/>
  <cols>
    <col min="1" max="1" width="8.59765625" style="244" customWidth="1"/>
    <col min="2" max="2" width="9" style="244" customWidth="1"/>
    <col min="3" max="3" width="11.1328125" style="244" customWidth="1"/>
    <col min="4" max="4" width="9" style="244" customWidth="1"/>
    <col min="5" max="5" width="9.19921875" style="244" customWidth="1"/>
    <col min="6" max="6" width="28.19921875" style="244" customWidth="1"/>
    <col min="7" max="7" width="11.46484375" style="244" customWidth="1"/>
    <col min="8" max="8" width="9.3984375" style="244" customWidth="1"/>
    <col min="9" max="9" width="4.46484375" style="244" customWidth="1"/>
    <col min="10" max="10" width="5.265625" style="244" customWidth="1"/>
    <col min="11" max="11" width="14.33203125" style="244" customWidth="1"/>
    <col min="12" max="12" width="9" style="244" customWidth="1"/>
    <col min="13" max="16384" width="9" style="244" hidden="1"/>
  </cols>
  <sheetData>
    <row r="1" spans="1:11" ht="40.049999999999997" customHeight="1" thickBot="1" x14ac:dyDescent="0.45"/>
    <row r="2" spans="1:11" ht="15" customHeight="1" x14ac:dyDescent="0.4">
      <c r="B2" s="651"/>
      <c r="C2" s="652"/>
      <c r="D2" s="652"/>
      <c r="E2" s="652"/>
      <c r="F2" s="652"/>
      <c r="G2" s="652"/>
      <c r="H2" s="652"/>
      <c r="I2" s="652"/>
      <c r="J2" s="652"/>
      <c r="K2" s="653"/>
    </row>
    <row r="3" spans="1:11" ht="15" customHeight="1" x14ac:dyDescent="0.4">
      <c r="B3" s="625" t="s">
        <v>0</v>
      </c>
      <c r="C3" s="619"/>
      <c r="D3" s="619"/>
      <c r="E3" s="619"/>
      <c r="F3" s="619"/>
      <c r="G3" s="619"/>
      <c r="H3" s="619"/>
      <c r="I3" s="619"/>
      <c r="J3" s="619"/>
      <c r="K3" s="620"/>
    </row>
    <row r="4" spans="1:11" x14ac:dyDescent="0.4">
      <c r="B4" s="615" t="s">
        <v>1</v>
      </c>
      <c r="C4" s="619"/>
      <c r="D4" s="619"/>
      <c r="E4" s="619"/>
      <c r="F4" s="619"/>
      <c r="G4" s="619"/>
      <c r="H4" s="619"/>
      <c r="I4" s="619"/>
      <c r="J4" s="619"/>
      <c r="K4" s="620"/>
    </row>
    <row r="5" spans="1:11" x14ac:dyDescent="0.4">
      <c r="B5" s="615" t="s">
        <v>6</v>
      </c>
      <c r="C5" s="616"/>
      <c r="D5" s="616"/>
      <c r="E5" s="616"/>
      <c r="F5" s="616"/>
      <c r="G5" s="616"/>
      <c r="H5" s="616"/>
      <c r="I5" s="616"/>
      <c r="J5" s="616"/>
      <c r="K5" s="617"/>
    </row>
    <row r="6" spans="1:11" x14ac:dyDescent="0.4">
      <c r="B6" s="625" t="s">
        <v>2</v>
      </c>
      <c r="C6" s="619"/>
      <c r="D6" s="619"/>
      <c r="E6" s="619"/>
      <c r="F6" s="619"/>
      <c r="G6" s="619"/>
      <c r="H6" s="619"/>
      <c r="I6" s="619"/>
      <c r="J6" s="619"/>
      <c r="K6" s="620"/>
    </row>
    <row r="7" spans="1:11" x14ac:dyDescent="0.4">
      <c r="B7" s="625" t="s">
        <v>86</v>
      </c>
      <c r="C7" s="619"/>
      <c r="D7" s="619"/>
      <c r="E7" s="619"/>
      <c r="F7" s="619"/>
      <c r="G7" s="619"/>
      <c r="H7" s="619"/>
      <c r="I7" s="619"/>
      <c r="J7" s="619"/>
      <c r="K7" s="620"/>
    </row>
    <row r="8" spans="1:11" ht="15.4" thickBot="1" x14ac:dyDescent="0.45">
      <c r="B8" s="648"/>
      <c r="C8" s="649"/>
      <c r="D8" s="649"/>
      <c r="E8" s="649"/>
      <c r="F8" s="649"/>
      <c r="G8" s="649"/>
      <c r="H8" s="649"/>
      <c r="I8" s="649"/>
      <c r="J8" s="649"/>
      <c r="K8" s="650"/>
    </row>
    <row r="9" spans="1:11" x14ac:dyDescent="0.4">
      <c r="B9" s="615" t="s">
        <v>191</v>
      </c>
      <c r="C9" s="616"/>
      <c r="D9" s="616"/>
      <c r="E9" s="616"/>
      <c r="F9" s="616"/>
      <c r="G9" s="616"/>
      <c r="H9" s="616"/>
      <c r="I9" s="616"/>
      <c r="J9" s="616"/>
      <c r="K9" s="617"/>
    </row>
    <row r="10" spans="1:11" x14ac:dyDescent="0.4">
      <c r="B10" s="615"/>
      <c r="C10" s="616"/>
      <c r="D10" s="616"/>
      <c r="E10" s="616"/>
      <c r="F10" s="616"/>
      <c r="G10" s="616"/>
      <c r="H10" s="616"/>
      <c r="I10" s="616"/>
      <c r="J10" s="616"/>
      <c r="K10" s="617"/>
    </row>
    <row r="11" spans="1:11" x14ac:dyDescent="0.4">
      <c r="B11" s="618" t="s">
        <v>196</v>
      </c>
      <c r="C11" s="619"/>
      <c r="D11" s="619"/>
      <c r="E11" s="619"/>
      <c r="F11" s="619"/>
      <c r="G11" s="619"/>
      <c r="H11" s="619"/>
      <c r="I11" s="619"/>
      <c r="J11" s="619"/>
      <c r="K11" s="620"/>
    </row>
    <row r="12" spans="1:11" ht="15.4" thickBot="1" x14ac:dyDescent="0.45">
      <c r="B12" s="621"/>
      <c r="C12" s="622"/>
      <c r="D12" s="622"/>
      <c r="E12" s="622"/>
      <c r="F12" s="622"/>
      <c r="G12" s="622"/>
      <c r="H12" s="622"/>
      <c r="I12" s="622"/>
      <c r="J12" s="622"/>
      <c r="K12" s="623"/>
    </row>
    <row r="13" spans="1:11" ht="15.4" thickBot="1" x14ac:dyDescent="0.45">
      <c r="B13" s="624" t="s">
        <v>198</v>
      </c>
      <c r="C13" s="624"/>
      <c r="D13" s="605" t="str">
        <f>Input!C2</f>
        <v>James E. Rosales</v>
      </c>
      <c r="E13" s="605"/>
      <c r="F13" s="605"/>
      <c r="G13" s="277" t="s">
        <v>192</v>
      </c>
      <c r="H13" s="276"/>
      <c r="I13" s="605" t="str">
        <f>Input!C6</f>
        <v>633-884-331-0000</v>
      </c>
      <c r="J13" s="605"/>
      <c r="K13" s="605"/>
    </row>
    <row r="14" spans="1:11" ht="15.4" thickBot="1" x14ac:dyDescent="0.45">
      <c r="B14" s="624" t="s">
        <v>199</v>
      </c>
      <c r="C14" s="624"/>
      <c r="D14" s="605" t="str">
        <f>Input!C10</f>
        <v>Department of Agriculture Regional Field Office XIII</v>
      </c>
      <c r="E14" s="605"/>
      <c r="F14" s="605"/>
      <c r="G14" s="605"/>
      <c r="H14" s="605"/>
      <c r="I14" s="605"/>
      <c r="J14" s="605"/>
      <c r="K14" s="605"/>
    </row>
    <row r="15" spans="1:11" ht="15.4" thickBot="1" x14ac:dyDescent="0.45">
      <c r="A15" s="247"/>
      <c r="B15" s="624" t="s">
        <v>200</v>
      </c>
      <c r="C15" s="624"/>
      <c r="D15" s="605" t="str">
        <f>(Input!C9)</f>
        <v>Field Operations Division</v>
      </c>
      <c r="E15" s="605"/>
      <c r="F15" s="605"/>
      <c r="G15" s="605"/>
      <c r="H15" s="605"/>
      <c r="I15" s="605"/>
      <c r="J15" s="605"/>
      <c r="K15" s="605"/>
    </row>
    <row r="16" spans="1:11" ht="15.75" customHeight="1" thickBot="1" x14ac:dyDescent="0.45">
      <c r="B16" s="628"/>
      <c r="C16" s="628"/>
      <c r="D16" s="628"/>
      <c r="E16" s="628"/>
      <c r="F16" s="628"/>
      <c r="G16" s="628"/>
      <c r="H16" s="628"/>
      <c r="I16" s="628"/>
      <c r="J16" s="628"/>
      <c r="K16" s="628"/>
    </row>
    <row r="17" spans="2:11" s="245" customFormat="1" ht="34.15" customHeight="1" thickBot="1" x14ac:dyDescent="0.5">
      <c r="B17" s="626" t="s">
        <v>205</v>
      </c>
      <c r="C17" s="626"/>
      <c r="D17" s="626" t="s">
        <v>204</v>
      </c>
      <c r="E17" s="626"/>
      <c r="F17" s="626"/>
      <c r="G17" s="627" t="s">
        <v>202</v>
      </c>
      <c r="H17" s="626"/>
      <c r="I17" s="626" t="s">
        <v>203</v>
      </c>
      <c r="J17" s="626"/>
      <c r="K17" s="626"/>
    </row>
    <row r="18" spans="2:11" ht="50" customHeight="1" thickBot="1" x14ac:dyDescent="0.45">
      <c r="B18" s="654" t="s">
        <v>117</v>
      </c>
      <c r="C18" s="655"/>
      <c r="D18" s="632" t="s">
        <v>120</v>
      </c>
      <c r="E18" s="632"/>
      <c r="F18" s="632"/>
      <c r="G18" s="602" t="s">
        <v>108</v>
      </c>
      <c r="H18" s="602"/>
      <c r="I18" s="629">
        <v>50</v>
      </c>
      <c r="J18" s="629"/>
      <c r="K18" s="629"/>
    </row>
    <row r="19" spans="2:11" ht="15.75" customHeight="1" thickBot="1" x14ac:dyDescent="0.45">
      <c r="B19" s="656"/>
      <c r="C19" s="657"/>
      <c r="D19" s="630" t="s">
        <v>119</v>
      </c>
      <c r="E19" s="630"/>
      <c r="F19" s="630"/>
      <c r="G19" s="609" t="s">
        <v>108</v>
      </c>
      <c r="H19" s="609"/>
      <c r="I19" s="631">
        <v>30</v>
      </c>
      <c r="J19" s="631"/>
      <c r="K19" s="631"/>
    </row>
    <row r="20" spans="2:11" ht="15.4" thickBot="1" x14ac:dyDescent="0.45">
      <c r="B20" s="610"/>
      <c r="C20" s="610"/>
      <c r="D20" s="611"/>
      <c r="E20" s="611"/>
      <c r="F20" s="611"/>
      <c r="G20" s="602"/>
      <c r="H20" s="602"/>
      <c r="I20" s="603"/>
      <c r="J20" s="603"/>
      <c r="K20" s="603"/>
    </row>
    <row r="21" spans="2:11" ht="15.4" thickBot="1" x14ac:dyDescent="0.45">
      <c r="B21" s="610"/>
      <c r="C21" s="610"/>
      <c r="D21" s="605"/>
      <c r="E21" s="605"/>
      <c r="F21" s="605"/>
      <c r="G21" s="609"/>
      <c r="H21" s="609"/>
      <c r="I21" s="604"/>
      <c r="J21" s="604"/>
      <c r="K21" s="604"/>
    </row>
    <row r="22" spans="2:11" ht="15.4" thickBot="1" x14ac:dyDescent="0.45">
      <c r="B22" s="610"/>
      <c r="C22" s="610"/>
      <c r="D22" s="611"/>
      <c r="E22" s="611"/>
      <c r="F22" s="611"/>
      <c r="G22" s="602"/>
      <c r="H22" s="602"/>
      <c r="I22" s="603"/>
      <c r="J22" s="603"/>
      <c r="K22" s="603"/>
    </row>
    <row r="23" spans="2:11" ht="15.4" thickBot="1" x14ac:dyDescent="0.45">
      <c r="B23" s="610"/>
      <c r="C23" s="610"/>
      <c r="D23" s="605"/>
      <c r="E23" s="605"/>
      <c r="F23" s="605"/>
      <c r="G23" s="609"/>
      <c r="H23" s="609"/>
      <c r="I23" s="604"/>
      <c r="J23" s="604"/>
      <c r="K23" s="604"/>
    </row>
    <row r="24" spans="2:11" ht="15.4" thickBot="1" x14ac:dyDescent="0.45">
      <c r="B24" s="610"/>
      <c r="C24" s="610"/>
      <c r="D24" s="611"/>
      <c r="E24" s="611"/>
      <c r="F24" s="611"/>
      <c r="G24" s="602"/>
      <c r="H24" s="602"/>
      <c r="I24" s="603"/>
      <c r="J24" s="603"/>
      <c r="K24" s="603"/>
    </row>
    <row r="25" spans="2:11" ht="15.4" thickBot="1" x14ac:dyDescent="0.45">
      <c r="B25" s="610"/>
      <c r="C25" s="610"/>
      <c r="D25" s="605"/>
      <c r="E25" s="605"/>
      <c r="F25" s="605"/>
      <c r="G25" s="609"/>
      <c r="H25" s="609"/>
      <c r="I25" s="605"/>
      <c r="J25" s="605"/>
      <c r="K25" s="605"/>
    </row>
    <row r="26" spans="2:11" ht="15.4" thickBot="1" x14ac:dyDescent="0.45">
      <c r="B26" s="610"/>
      <c r="C26" s="610"/>
      <c r="D26" s="611"/>
      <c r="E26" s="611"/>
      <c r="F26" s="611"/>
      <c r="G26" s="602"/>
      <c r="H26" s="602"/>
      <c r="I26" s="603"/>
      <c r="J26" s="603"/>
      <c r="K26" s="603"/>
    </row>
    <row r="27" spans="2:11" ht="15.4" thickBot="1" x14ac:dyDescent="0.45">
      <c r="B27" s="610"/>
      <c r="C27" s="610"/>
      <c r="D27" s="605"/>
      <c r="E27" s="605"/>
      <c r="F27" s="605"/>
      <c r="G27" s="609"/>
      <c r="H27" s="609"/>
      <c r="I27" s="604"/>
      <c r="J27" s="604"/>
      <c r="K27" s="604"/>
    </row>
    <row r="28" spans="2:11" ht="15.4" thickBot="1" x14ac:dyDescent="0.45">
      <c r="B28" s="610"/>
      <c r="C28" s="610"/>
      <c r="D28" s="611"/>
      <c r="E28" s="611"/>
      <c r="F28" s="611"/>
      <c r="G28" s="602"/>
      <c r="H28" s="602"/>
      <c r="I28" s="603"/>
      <c r="J28" s="603"/>
      <c r="K28" s="603"/>
    </row>
    <row r="29" spans="2:11" ht="15.4" thickBot="1" x14ac:dyDescent="0.45">
      <c r="B29" s="610"/>
      <c r="C29" s="610"/>
      <c r="D29" s="605"/>
      <c r="E29" s="605"/>
      <c r="F29" s="605"/>
      <c r="G29" s="609"/>
      <c r="H29" s="609"/>
      <c r="I29" s="605"/>
      <c r="J29" s="605"/>
      <c r="K29" s="605"/>
    </row>
    <row r="30" spans="2:11" ht="15.4" thickBot="1" x14ac:dyDescent="0.45">
      <c r="B30" s="610"/>
      <c r="C30" s="610"/>
      <c r="D30" s="611"/>
      <c r="E30" s="611"/>
      <c r="F30" s="611"/>
      <c r="G30" s="602"/>
      <c r="H30" s="602"/>
      <c r="I30" s="603"/>
      <c r="J30" s="603"/>
      <c r="K30" s="603"/>
    </row>
    <row r="31" spans="2:11" ht="15.4" thickBot="1" x14ac:dyDescent="0.45">
      <c r="B31" s="610"/>
      <c r="C31" s="610"/>
      <c r="D31" s="612"/>
      <c r="E31" s="613"/>
      <c r="F31" s="614"/>
      <c r="G31" s="600"/>
      <c r="H31" s="601"/>
      <c r="I31" s="606"/>
      <c r="J31" s="607"/>
      <c r="K31" s="608"/>
    </row>
    <row r="32" spans="2:11" ht="15.4" thickBot="1" x14ac:dyDescent="0.45">
      <c r="B32" s="610"/>
      <c r="C32" s="610"/>
      <c r="D32" s="611"/>
      <c r="E32" s="611"/>
      <c r="F32" s="611"/>
      <c r="G32" s="602"/>
      <c r="H32" s="602"/>
      <c r="I32" s="603"/>
      <c r="J32" s="603"/>
      <c r="K32" s="603"/>
    </row>
    <row r="33" spans="2:11" ht="15.4" thickBot="1" x14ac:dyDescent="0.45">
      <c r="B33" s="610"/>
      <c r="C33" s="610"/>
      <c r="D33" s="605"/>
      <c r="E33" s="605"/>
      <c r="F33" s="605"/>
      <c r="G33" s="609"/>
      <c r="H33" s="609"/>
      <c r="I33" s="604"/>
      <c r="J33" s="604"/>
      <c r="K33" s="604"/>
    </row>
    <row r="34" spans="2:11" ht="15.4" thickBot="1" x14ac:dyDescent="0.45">
      <c r="B34" s="610"/>
      <c r="C34" s="610"/>
      <c r="D34" s="611"/>
      <c r="E34" s="611"/>
      <c r="F34" s="611"/>
      <c r="G34" s="602"/>
      <c r="H34" s="602"/>
      <c r="I34" s="603"/>
      <c r="J34" s="603"/>
      <c r="K34" s="603"/>
    </row>
    <row r="35" spans="2:11" ht="15.4" thickBot="1" x14ac:dyDescent="0.45">
      <c r="B35" s="610"/>
      <c r="C35" s="610"/>
      <c r="D35" s="605"/>
      <c r="E35" s="605"/>
      <c r="F35" s="605"/>
      <c r="G35" s="609"/>
      <c r="H35" s="609"/>
      <c r="I35" s="605"/>
      <c r="J35" s="605"/>
      <c r="K35" s="605"/>
    </row>
    <row r="36" spans="2:11" ht="15.4" thickBot="1" x14ac:dyDescent="0.45">
      <c r="B36" s="610"/>
      <c r="C36" s="610"/>
      <c r="D36" s="611"/>
      <c r="E36" s="611"/>
      <c r="F36" s="611"/>
      <c r="G36" s="602"/>
      <c r="H36" s="602"/>
      <c r="I36" s="603"/>
      <c r="J36" s="603"/>
      <c r="K36" s="603"/>
    </row>
    <row r="37" spans="2:11" ht="15.75" customHeight="1" thickBot="1" x14ac:dyDescent="0.45">
      <c r="B37" s="610"/>
      <c r="C37" s="610"/>
      <c r="D37" s="600"/>
      <c r="E37" s="633"/>
      <c r="F37" s="601"/>
      <c r="G37" s="600"/>
      <c r="H37" s="601"/>
      <c r="I37" s="634"/>
      <c r="J37" s="635"/>
      <c r="K37" s="636"/>
    </row>
    <row r="38" spans="2:11" ht="15.4" thickBot="1" x14ac:dyDescent="0.45">
      <c r="B38" s="610"/>
      <c r="C38" s="610"/>
      <c r="D38" s="611"/>
      <c r="E38" s="611"/>
      <c r="F38" s="611"/>
      <c r="G38" s="602"/>
      <c r="H38" s="602"/>
      <c r="I38" s="603"/>
      <c r="J38" s="603"/>
      <c r="K38" s="603"/>
    </row>
    <row r="39" spans="2:11" ht="15.4" thickBot="1" x14ac:dyDescent="0.45">
      <c r="B39" s="610"/>
      <c r="C39" s="610"/>
      <c r="D39" s="605"/>
      <c r="E39" s="605"/>
      <c r="F39" s="605"/>
      <c r="G39" s="609"/>
      <c r="H39" s="609"/>
      <c r="I39" s="604"/>
      <c r="J39" s="604"/>
      <c r="K39" s="604"/>
    </row>
    <row r="40" spans="2:11" ht="15.4" thickBot="1" x14ac:dyDescent="0.45">
      <c r="B40" s="610"/>
      <c r="C40" s="610"/>
      <c r="D40" s="611"/>
      <c r="E40" s="611"/>
      <c r="F40" s="611"/>
      <c r="G40" s="602"/>
      <c r="H40" s="602"/>
      <c r="I40" s="603"/>
      <c r="J40" s="603"/>
      <c r="K40" s="603"/>
    </row>
    <row r="41" spans="2:11" ht="15.4" thickBot="1" x14ac:dyDescent="0.45">
      <c r="B41" s="610"/>
      <c r="C41" s="610"/>
      <c r="D41" s="605"/>
      <c r="E41" s="605"/>
      <c r="F41" s="605"/>
      <c r="G41" s="609"/>
      <c r="H41" s="609"/>
      <c r="I41" s="604"/>
      <c r="J41" s="604"/>
      <c r="K41" s="604"/>
    </row>
    <row r="42" spans="2:11" ht="15.4" thickBot="1" x14ac:dyDescent="0.45">
      <c r="B42" s="610"/>
      <c r="C42" s="610"/>
      <c r="D42" s="611"/>
      <c r="E42" s="611"/>
      <c r="F42" s="611"/>
      <c r="G42" s="602"/>
      <c r="H42" s="602"/>
      <c r="I42" s="603"/>
      <c r="J42" s="603"/>
      <c r="K42" s="603"/>
    </row>
    <row r="43" spans="2:11" ht="15.75" customHeight="1" thickBot="1" x14ac:dyDescent="0.45">
      <c r="B43" s="639"/>
      <c r="C43" s="640"/>
      <c r="D43" s="600"/>
      <c r="E43" s="633"/>
      <c r="F43" s="601"/>
      <c r="G43" s="600"/>
      <c r="H43" s="601"/>
      <c r="I43" s="634"/>
      <c r="J43" s="635"/>
      <c r="K43" s="636"/>
    </row>
    <row r="44" spans="2:11" ht="15.75" customHeight="1" thickBot="1" x14ac:dyDescent="0.45">
      <c r="B44" s="284"/>
      <c r="C44" s="285"/>
      <c r="D44" s="641"/>
      <c r="E44" s="642"/>
      <c r="F44" s="643"/>
      <c r="G44" s="641"/>
      <c r="H44" s="643"/>
      <c r="I44" s="644"/>
      <c r="J44" s="645"/>
      <c r="K44" s="646"/>
    </row>
    <row r="45" spans="2:11" ht="15.4" thickBot="1" x14ac:dyDescent="0.45">
      <c r="B45" s="639"/>
      <c r="C45" s="640"/>
      <c r="D45" s="600"/>
      <c r="E45" s="633"/>
      <c r="F45" s="601"/>
      <c r="G45" s="600"/>
      <c r="H45" s="601"/>
      <c r="I45" s="634"/>
      <c r="J45" s="635"/>
      <c r="K45" s="636"/>
    </row>
    <row r="46" spans="2:11" ht="15.4" thickBot="1" x14ac:dyDescent="0.45">
      <c r="B46" s="637" t="s">
        <v>5</v>
      </c>
      <c r="C46" s="637"/>
      <c r="D46" s="637"/>
      <c r="E46" s="637"/>
      <c r="F46" s="637"/>
      <c r="G46" s="637"/>
      <c r="H46" s="637"/>
      <c r="I46" s="638">
        <f>SUM(I18:K45)</f>
        <v>80</v>
      </c>
      <c r="J46" s="638"/>
      <c r="K46" s="638"/>
    </row>
    <row r="47" spans="2:11" ht="15.75" customHeight="1" thickBot="1" x14ac:dyDescent="0.45">
      <c r="B47" s="660" t="s">
        <v>206</v>
      </c>
      <c r="C47" s="661"/>
      <c r="D47" s="661"/>
      <c r="E47" s="661"/>
      <c r="F47" s="661"/>
      <c r="G47" s="661"/>
      <c r="H47" s="661"/>
      <c r="I47" s="661"/>
      <c r="J47" s="661"/>
      <c r="K47" s="662"/>
    </row>
    <row r="48" spans="2:11" ht="57" customHeight="1" thickBot="1" x14ac:dyDescent="0.45">
      <c r="B48" s="630" t="s">
        <v>193</v>
      </c>
      <c r="C48" s="630"/>
      <c r="D48" s="630"/>
      <c r="E48" s="630"/>
      <c r="F48" s="630"/>
      <c r="G48" s="630"/>
      <c r="H48" s="630"/>
      <c r="I48" s="630"/>
      <c r="J48" s="630"/>
      <c r="K48" s="630"/>
    </row>
    <row r="49" spans="2:11" ht="15.4" thickBot="1" x14ac:dyDescent="0.45">
      <c r="B49" s="659"/>
      <c r="C49" s="659"/>
      <c r="D49" s="659" t="s">
        <v>197</v>
      </c>
      <c r="E49" s="659"/>
      <c r="F49" s="659"/>
      <c r="G49" s="659" t="s">
        <v>151</v>
      </c>
      <c r="H49" s="659"/>
      <c r="I49" s="659"/>
      <c r="J49" s="659"/>
      <c r="K49" s="659"/>
    </row>
    <row r="50" spans="2:11" ht="31.25" customHeight="1" thickBot="1" x14ac:dyDescent="0.45">
      <c r="B50" s="624" t="s">
        <v>47</v>
      </c>
      <c r="C50" s="624"/>
      <c r="D50" s="659"/>
      <c r="E50" s="659"/>
      <c r="F50" s="659"/>
      <c r="G50" s="659"/>
      <c r="H50" s="659"/>
      <c r="I50" s="659"/>
      <c r="J50" s="659"/>
      <c r="K50" s="659"/>
    </row>
    <row r="51" spans="2:11" ht="15.4" thickBot="1" x14ac:dyDescent="0.45">
      <c r="B51" s="647" t="s">
        <v>48</v>
      </c>
      <c r="C51" s="647"/>
      <c r="D51" s="658" t="str">
        <f>UPPER(Input!C2)</f>
        <v>JAMES E. ROSALES</v>
      </c>
      <c r="E51" s="658"/>
      <c r="F51" s="658"/>
      <c r="G51" s="658" t="str">
        <f>UPPER(Input!C16)</f>
        <v>MELODY M. GUIMARY</v>
      </c>
      <c r="H51" s="658"/>
      <c r="I51" s="658"/>
      <c r="J51" s="658"/>
      <c r="K51" s="658"/>
    </row>
    <row r="52" spans="2:11" ht="15.4" thickBot="1" x14ac:dyDescent="0.45">
      <c r="B52" s="647"/>
      <c r="C52" s="647"/>
      <c r="D52" s="659" t="s">
        <v>194</v>
      </c>
      <c r="E52" s="659"/>
      <c r="F52" s="659"/>
      <c r="G52" s="659" t="s">
        <v>195</v>
      </c>
      <c r="H52" s="659"/>
      <c r="I52" s="659"/>
      <c r="J52" s="659"/>
      <c r="K52" s="659"/>
    </row>
    <row r="53" spans="2:11" ht="15.4" thickBot="1" x14ac:dyDescent="0.45">
      <c r="B53" s="647"/>
      <c r="C53" s="647"/>
      <c r="D53" s="658" t="s">
        <v>8</v>
      </c>
      <c r="E53" s="658"/>
      <c r="F53" s="246"/>
      <c r="G53" s="658" t="s">
        <v>8</v>
      </c>
      <c r="H53" s="658"/>
      <c r="I53" s="658"/>
      <c r="J53" s="658"/>
      <c r="K53" s="658"/>
    </row>
  </sheetData>
  <mergeCells count="151">
    <mergeCell ref="B52:C52"/>
    <mergeCell ref="B53:C53"/>
    <mergeCell ref="B8:K8"/>
    <mergeCell ref="B2:K2"/>
    <mergeCell ref="B18:C19"/>
    <mergeCell ref="B51:C51"/>
    <mergeCell ref="D51:F51"/>
    <mergeCell ref="G51:K51"/>
    <mergeCell ref="D52:F52"/>
    <mergeCell ref="G52:K52"/>
    <mergeCell ref="D53:E53"/>
    <mergeCell ref="G53:H53"/>
    <mergeCell ref="I53:K53"/>
    <mergeCell ref="B48:K48"/>
    <mergeCell ref="B49:C49"/>
    <mergeCell ref="D49:F49"/>
    <mergeCell ref="G49:K49"/>
    <mergeCell ref="B50:C50"/>
    <mergeCell ref="D50:F50"/>
    <mergeCell ref="G50:K50"/>
    <mergeCell ref="B47:K47"/>
    <mergeCell ref="B45:C45"/>
    <mergeCell ref="D45:F45"/>
    <mergeCell ref="G45:H45"/>
    <mergeCell ref="I45:K45"/>
    <mergeCell ref="B46:H46"/>
    <mergeCell ref="I46:K46"/>
    <mergeCell ref="B41:C41"/>
    <mergeCell ref="D41:F41"/>
    <mergeCell ref="G41:H41"/>
    <mergeCell ref="I41:K41"/>
    <mergeCell ref="B42:C42"/>
    <mergeCell ref="D42:F42"/>
    <mergeCell ref="G42:H42"/>
    <mergeCell ref="I42:K42"/>
    <mergeCell ref="D43:F43"/>
    <mergeCell ref="B43:C43"/>
    <mergeCell ref="G43:H43"/>
    <mergeCell ref="I43:K43"/>
    <mergeCell ref="D44:F44"/>
    <mergeCell ref="G44:H44"/>
    <mergeCell ref="I44:K44"/>
    <mergeCell ref="B39:C39"/>
    <mergeCell ref="D39:F39"/>
    <mergeCell ref="G39:H39"/>
    <mergeCell ref="I39:K39"/>
    <mergeCell ref="B40:C40"/>
    <mergeCell ref="D40:F40"/>
    <mergeCell ref="G40:H40"/>
    <mergeCell ref="I40:K40"/>
    <mergeCell ref="B37:C37"/>
    <mergeCell ref="D37:F37"/>
    <mergeCell ref="G37:H37"/>
    <mergeCell ref="I37:K37"/>
    <mergeCell ref="B38:C38"/>
    <mergeCell ref="D38:F38"/>
    <mergeCell ref="G38:H38"/>
    <mergeCell ref="I38:K38"/>
    <mergeCell ref="B35:C35"/>
    <mergeCell ref="D35:F35"/>
    <mergeCell ref="G35:H35"/>
    <mergeCell ref="I35:K35"/>
    <mergeCell ref="B36:C36"/>
    <mergeCell ref="D36:F36"/>
    <mergeCell ref="G36:H36"/>
    <mergeCell ref="I36:K36"/>
    <mergeCell ref="B33:C33"/>
    <mergeCell ref="D33:F33"/>
    <mergeCell ref="G33:H33"/>
    <mergeCell ref="I33:K33"/>
    <mergeCell ref="B34:C34"/>
    <mergeCell ref="D34:F34"/>
    <mergeCell ref="G34:H34"/>
    <mergeCell ref="I34:K34"/>
    <mergeCell ref="B21:C21"/>
    <mergeCell ref="D21:F21"/>
    <mergeCell ref="G21:H21"/>
    <mergeCell ref="I21:K21"/>
    <mergeCell ref="I18:K18"/>
    <mergeCell ref="D19:F19"/>
    <mergeCell ref="G19:H19"/>
    <mergeCell ref="I19:K19"/>
    <mergeCell ref="B20:C20"/>
    <mergeCell ref="D20:F20"/>
    <mergeCell ref="G20:H20"/>
    <mergeCell ref="I20:K20"/>
    <mergeCell ref="D18:F18"/>
    <mergeCell ref="G18:H18"/>
    <mergeCell ref="B14:C14"/>
    <mergeCell ref="D14:K14"/>
    <mergeCell ref="B15:C15"/>
    <mergeCell ref="D15:K15"/>
    <mergeCell ref="B17:C17"/>
    <mergeCell ref="D17:F17"/>
    <mergeCell ref="G17:H17"/>
    <mergeCell ref="I17:K17"/>
    <mergeCell ref="B16:K16"/>
    <mergeCell ref="B9:K10"/>
    <mergeCell ref="B11:K12"/>
    <mergeCell ref="B13:C13"/>
    <mergeCell ref="D13:F13"/>
    <mergeCell ref="I13:K13"/>
    <mergeCell ref="B3:K3"/>
    <mergeCell ref="B4:K4"/>
    <mergeCell ref="B5:K5"/>
    <mergeCell ref="B6:K6"/>
    <mergeCell ref="B7:K7"/>
    <mergeCell ref="B31:C31"/>
    <mergeCell ref="B32:C32"/>
    <mergeCell ref="D22:F22"/>
    <mergeCell ref="D23:F23"/>
    <mergeCell ref="D24:F24"/>
    <mergeCell ref="D25:F25"/>
    <mergeCell ref="D26:F26"/>
    <mergeCell ref="D27:F27"/>
    <mergeCell ref="D28:F28"/>
    <mergeCell ref="D29:F29"/>
    <mergeCell ref="D30:F30"/>
    <mergeCell ref="D31:F31"/>
    <mergeCell ref="D32:F32"/>
    <mergeCell ref="B22:C22"/>
    <mergeCell ref="B23:C23"/>
    <mergeCell ref="B24:C24"/>
    <mergeCell ref="B25:C25"/>
    <mergeCell ref="B26:C26"/>
    <mergeCell ref="B27:C27"/>
    <mergeCell ref="B28:C28"/>
    <mergeCell ref="B29:C29"/>
    <mergeCell ref="B30:C30"/>
    <mergeCell ref="G31:H31"/>
    <mergeCell ref="G32:H32"/>
    <mergeCell ref="I22:K22"/>
    <mergeCell ref="I23:K23"/>
    <mergeCell ref="I24:K24"/>
    <mergeCell ref="I25:K25"/>
    <mergeCell ref="I26:K26"/>
    <mergeCell ref="I27:K27"/>
    <mergeCell ref="I28:K28"/>
    <mergeCell ref="I29:K29"/>
    <mergeCell ref="I30:K30"/>
    <mergeCell ref="I31:K31"/>
    <mergeCell ref="I32:K32"/>
    <mergeCell ref="G22:H22"/>
    <mergeCell ref="G23:H23"/>
    <mergeCell ref="G24:H24"/>
    <mergeCell ref="G25:H25"/>
    <mergeCell ref="G26:H26"/>
    <mergeCell ref="G27:H27"/>
    <mergeCell ref="G28:H28"/>
    <mergeCell ref="G29:H29"/>
    <mergeCell ref="G30:H30"/>
  </mergeCells>
  <phoneticPr fontId="38" type="noConversion"/>
  <pageMargins left="0.7" right="0.7" top="0.75" bottom="0.75" header="0.3" footer="0.3"/>
  <pageSetup paperSize="9" scale="77"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2E30-09DF-4E4B-A071-4B9F49BFEBA6}">
  <dimension ref="A1:G26"/>
  <sheetViews>
    <sheetView view="pageBreakPreview" zoomScaleNormal="100" zoomScaleSheetLayoutView="100" workbookViewId="0">
      <selection activeCell="C20" sqref="C20"/>
    </sheetView>
  </sheetViews>
  <sheetFormatPr defaultColWidth="0" defaultRowHeight="15" x14ac:dyDescent="0.4"/>
  <cols>
    <col min="1" max="1" width="8.59765625" style="238" customWidth="1"/>
    <col min="2" max="2" width="9.06640625" style="242" customWidth="1"/>
    <col min="3" max="3" width="27.06640625" style="238" customWidth="1"/>
    <col min="4" max="4" width="18" style="238" customWidth="1"/>
    <col min="5" max="5" width="18.46484375" style="238" customWidth="1"/>
    <col min="6" max="6" width="18.33203125" style="238" customWidth="1"/>
    <col min="7" max="7" width="9.06640625" style="238" customWidth="1"/>
    <col min="8" max="16384" width="9.06640625" style="238" hidden="1"/>
  </cols>
  <sheetData>
    <row r="1" spans="2:6" ht="40.049999999999997" customHeight="1" thickBot="1" x14ac:dyDescent="0.45"/>
    <row r="2" spans="2:6" ht="15.4" thickBot="1" x14ac:dyDescent="0.45">
      <c r="B2" s="241" t="s">
        <v>190</v>
      </c>
      <c r="C2" s="240" t="s">
        <v>184</v>
      </c>
      <c r="D2" s="240" t="s">
        <v>185</v>
      </c>
      <c r="E2" s="240" t="s">
        <v>186</v>
      </c>
      <c r="F2" s="240" t="s">
        <v>187</v>
      </c>
    </row>
    <row r="3" spans="2:6" ht="15.4" thickBot="1" x14ac:dyDescent="0.45">
      <c r="B3" s="243">
        <v>1</v>
      </c>
      <c r="C3" s="239" t="s">
        <v>114</v>
      </c>
      <c r="D3" s="239" t="s">
        <v>188</v>
      </c>
      <c r="E3" s="239" t="s">
        <v>189</v>
      </c>
      <c r="F3" s="239" t="s">
        <v>189</v>
      </c>
    </row>
    <row r="4" spans="2:6" ht="15.4" thickBot="1" x14ac:dyDescent="0.45">
      <c r="B4" s="243">
        <v>2</v>
      </c>
      <c r="C4" s="239"/>
      <c r="D4" s="239"/>
      <c r="E4" s="239"/>
      <c r="F4" s="239"/>
    </row>
    <row r="5" spans="2:6" ht="15.4" thickBot="1" x14ac:dyDescent="0.45">
      <c r="B5" s="243">
        <v>3</v>
      </c>
      <c r="C5" s="239"/>
      <c r="D5" s="239"/>
      <c r="E5" s="239"/>
      <c r="F5" s="239"/>
    </row>
    <row r="6" spans="2:6" ht="15.4" thickBot="1" x14ac:dyDescent="0.45">
      <c r="B6" s="243">
        <v>4</v>
      </c>
      <c r="C6" s="239"/>
      <c r="D6" s="239"/>
      <c r="E6" s="239"/>
      <c r="F6" s="239"/>
    </row>
    <row r="7" spans="2:6" ht="15.4" thickBot="1" x14ac:dyDescent="0.45">
      <c r="B7" s="243">
        <v>5</v>
      </c>
      <c r="C7" s="239"/>
      <c r="D7" s="239"/>
      <c r="E7" s="239"/>
      <c r="F7" s="239"/>
    </row>
    <row r="8" spans="2:6" ht="15.4" thickBot="1" x14ac:dyDescent="0.45">
      <c r="B8" s="243">
        <v>6</v>
      </c>
      <c r="C8" s="239"/>
      <c r="D8" s="239"/>
      <c r="E8" s="239"/>
      <c r="F8" s="239"/>
    </row>
    <row r="9" spans="2:6" ht="15.4" thickBot="1" x14ac:dyDescent="0.45">
      <c r="B9" s="243">
        <v>7</v>
      </c>
      <c r="C9" s="239"/>
      <c r="D9" s="239"/>
      <c r="E9" s="239"/>
      <c r="F9" s="239"/>
    </row>
    <row r="10" spans="2:6" ht="15.4" thickBot="1" x14ac:dyDescent="0.45">
      <c r="B10" s="243">
        <v>8</v>
      </c>
      <c r="C10" s="239"/>
      <c r="D10" s="239"/>
      <c r="E10" s="239"/>
      <c r="F10" s="239"/>
    </row>
    <row r="11" spans="2:6" ht="15.4" thickBot="1" x14ac:dyDescent="0.45">
      <c r="B11" s="243">
        <v>9</v>
      </c>
      <c r="C11" s="239"/>
      <c r="D11" s="239"/>
      <c r="E11" s="239"/>
      <c r="F11" s="239"/>
    </row>
    <row r="12" spans="2:6" ht="15.4" thickBot="1" x14ac:dyDescent="0.45">
      <c r="B12" s="243">
        <v>10</v>
      </c>
      <c r="C12" s="239"/>
      <c r="D12" s="239"/>
      <c r="E12" s="239"/>
      <c r="F12" s="239"/>
    </row>
    <row r="13" spans="2:6" ht="15.4" thickBot="1" x14ac:dyDescent="0.45">
      <c r="B13" s="243">
        <v>11</v>
      </c>
      <c r="C13" s="239"/>
      <c r="D13" s="239"/>
      <c r="E13" s="239"/>
      <c r="F13" s="239"/>
    </row>
    <row r="14" spans="2:6" ht="15.4" thickBot="1" x14ac:dyDescent="0.45">
      <c r="B14" s="243">
        <v>12</v>
      </c>
      <c r="C14" s="239"/>
      <c r="D14" s="239"/>
      <c r="E14" s="239"/>
      <c r="F14" s="239"/>
    </row>
    <row r="15" spans="2:6" ht="15.4" thickBot="1" x14ac:dyDescent="0.45">
      <c r="B15" s="243">
        <v>13</v>
      </c>
      <c r="C15" s="239"/>
      <c r="D15" s="239"/>
      <c r="E15" s="239"/>
      <c r="F15" s="239"/>
    </row>
    <row r="16" spans="2:6" ht="15.4" thickBot="1" x14ac:dyDescent="0.45">
      <c r="B16" s="243">
        <v>14</v>
      </c>
      <c r="C16" s="239"/>
      <c r="D16" s="239"/>
      <c r="E16" s="239"/>
      <c r="F16" s="239"/>
    </row>
    <row r="17" spans="2:6" ht="15.4" thickBot="1" x14ac:dyDescent="0.45">
      <c r="B17" s="243">
        <v>15</v>
      </c>
      <c r="C17" s="239"/>
      <c r="D17" s="239"/>
      <c r="E17" s="239"/>
      <c r="F17" s="239"/>
    </row>
    <row r="18" spans="2:6" ht="15.4" thickBot="1" x14ac:dyDescent="0.45">
      <c r="B18" s="243">
        <v>16</v>
      </c>
      <c r="C18" s="239"/>
      <c r="D18" s="239"/>
      <c r="E18" s="239"/>
      <c r="F18" s="239"/>
    </row>
    <row r="19" spans="2:6" ht="15.4" thickBot="1" x14ac:dyDescent="0.45">
      <c r="B19" s="243">
        <v>17</v>
      </c>
      <c r="C19" s="239"/>
      <c r="D19" s="239"/>
      <c r="E19" s="239"/>
      <c r="F19" s="239"/>
    </row>
    <row r="20" spans="2:6" ht="15.4" thickBot="1" x14ac:dyDescent="0.45">
      <c r="B20" s="243">
        <v>18</v>
      </c>
      <c r="C20" s="239"/>
      <c r="D20" s="239"/>
      <c r="E20" s="239"/>
      <c r="F20" s="239"/>
    </row>
    <row r="21" spans="2:6" ht="15.4" thickBot="1" x14ac:dyDescent="0.45">
      <c r="B21" s="243">
        <v>19</v>
      </c>
      <c r="C21" s="239"/>
      <c r="D21" s="239"/>
      <c r="E21" s="239"/>
      <c r="F21" s="239"/>
    </row>
    <row r="22" spans="2:6" ht="15.4" thickBot="1" x14ac:dyDescent="0.45">
      <c r="B22" s="243">
        <v>20</v>
      </c>
      <c r="C22" s="239"/>
      <c r="D22" s="239"/>
      <c r="E22" s="239"/>
      <c r="F22" s="239"/>
    </row>
    <row r="23" spans="2:6" ht="15.4" thickBot="1" x14ac:dyDescent="0.45">
      <c r="B23" s="243">
        <v>21</v>
      </c>
      <c r="C23" s="239"/>
      <c r="D23" s="239"/>
      <c r="E23" s="239"/>
      <c r="F23" s="239"/>
    </row>
    <row r="24" spans="2:6" ht="15.4" thickBot="1" x14ac:dyDescent="0.45">
      <c r="B24" s="243">
        <v>22</v>
      </c>
      <c r="C24" s="239"/>
      <c r="D24" s="239"/>
      <c r="E24" s="239"/>
      <c r="F24" s="239"/>
    </row>
    <row r="25" spans="2:6" ht="15.4" thickBot="1" x14ac:dyDescent="0.45">
      <c r="B25" s="243">
        <v>23</v>
      </c>
      <c r="C25" s="239"/>
      <c r="D25" s="239"/>
      <c r="E25" s="239"/>
      <c r="F25" s="239"/>
    </row>
    <row r="26" spans="2:6" ht="15.4" thickBot="1" x14ac:dyDescent="0.45">
      <c r="B26" s="243">
        <v>24</v>
      </c>
      <c r="C26" s="239"/>
      <c r="D26" s="239"/>
      <c r="E26" s="239"/>
      <c r="F26" s="239"/>
    </row>
  </sheetData>
  <dataValidations count="1">
    <dataValidation type="list" allowBlank="1" showInputMessage="1" showErrorMessage="1" sqref="D3:F26" xr:uid="{DB3675DB-A09E-4F32-9070-64467B7559D6}">
      <formula1>"Yes, No, -"</formula1>
    </dataValidation>
  </dataValidations>
  <pageMargins left="0.7" right="0.7" top="0.75" bottom="0.75" header="0.3" footer="0.3"/>
  <pageSetup paperSize="9" scale="9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7A73-DEC1-4621-AFBF-45470BAEF82A}">
  <dimension ref="A1:DO232"/>
  <sheetViews>
    <sheetView view="pageBreakPreview" zoomScaleNormal="95" zoomScaleSheetLayoutView="100" workbookViewId="0">
      <selection activeCell="X20" sqref="X20:AI20"/>
    </sheetView>
  </sheetViews>
  <sheetFormatPr defaultColWidth="0" defaultRowHeight="0" customHeight="1" zeroHeight="1" x14ac:dyDescent="0.35"/>
  <cols>
    <col min="1" max="1" width="8.59765625" style="248" customWidth="1"/>
    <col min="2" max="2" width="2.796875" style="248" customWidth="1"/>
    <col min="3" max="3" width="1.265625" style="248" customWidth="1"/>
    <col min="4" max="13" width="2.73046875" style="248" customWidth="1"/>
    <col min="14" max="14" width="4.3984375" style="248" customWidth="1"/>
    <col min="15" max="15" width="2.73046875" style="248" customWidth="1"/>
    <col min="16" max="16" width="4.265625" style="248" customWidth="1"/>
    <col min="17" max="22" width="2.73046875" style="248" customWidth="1"/>
    <col min="23" max="23" width="4.86328125" style="248" customWidth="1"/>
    <col min="24" max="25" width="2.73046875" style="248" customWidth="1"/>
    <col min="26" max="26" width="2" style="248" hidden="1" customWidth="1"/>
    <col min="27" max="32" width="2.73046875" style="248" customWidth="1"/>
    <col min="33" max="33" width="2.59765625" style="248" customWidth="1"/>
    <col min="34" max="34" width="2.73046875" style="248" hidden="1" customWidth="1"/>
    <col min="35" max="35" width="5" style="248" customWidth="1"/>
    <col min="36" max="36" width="4.06640625" style="248" customWidth="1"/>
    <col min="37" max="37" width="7.53125" style="248" customWidth="1"/>
    <col min="38" max="119" width="2.73046875" style="248" hidden="1" customWidth="1"/>
    <col min="120" max="16384" width="9.265625" style="248" hidden="1"/>
  </cols>
  <sheetData>
    <row r="1" spans="2:36" ht="40.049999999999997" customHeight="1" thickBot="1" x14ac:dyDescent="0.4"/>
    <row r="2" spans="2:36" ht="15" customHeight="1" x14ac:dyDescent="0.35">
      <c r="B2" s="678"/>
      <c r="C2" s="679"/>
      <c r="D2" s="679"/>
      <c r="E2" s="679"/>
      <c r="F2" s="679"/>
      <c r="G2" s="679"/>
      <c r="H2" s="679"/>
      <c r="I2" s="679"/>
      <c r="J2" s="679"/>
      <c r="K2" s="679"/>
      <c r="L2" s="679"/>
      <c r="M2" s="679"/>
      <c r="N2" s="679"/>
      <c r="O2" s="679"/>
      <c r="P2" s="679"/>
      <c r="Q2" s="679"/>
      <c r="R2" s="679"/>
      <c r="S2" s="679"/>
      <c r="T2" s="679"/>
      <c r="U2" s="679"/>
      <c r="V2" s="679"/>
      <c r="W2" s="679"/>
      <c r="X2" s="679"/>
      <c r="Y2" s="679"/>
      <c r="Z2" s="679"/>
      <c r="AA2" s="679"/>
      <c r="AB2" s="679"/>
      <c r="AC2" s="679"/>
      <c r="AD2" s="679"/>
      <c r="AE2" s="679"/>
      <c r="AF2" s="679"/>
      <c r="AG2" s="679"/>
      <c r="AH2" s="679"/>
      <c r="AI2" s="679"/>
      <c r="AJ2" s="680"/>
    </row>
    <row r="3" spans="2:36" ht="15" customHeight="1" x14ac:dyDescent="0.35">
      <c r="B3" s="666"/>
      <c r="C3" s="667"/>
      <c r="D3" s="667"/>
      <c r="E3" s="667"/>
      <c r="F3" s="667"/>
      <c r="G3" s="667"/>
      <c r="H3" s="667"/>
      <c r="I3" s="667"/>
      <c r="J3" s="667"/>
      <c r="K3" s="667"/>
      <c r="L3" s="667"/>
      <c r="M3" s="667"/>
      <c r="N3" s="667"/>
      <c r="O3" s="667"/>
      <c r="P3" s="667"/>
      <c r="Q3" s="667"/>
      <c r="R3" s="667"/>
      <c r="S3" s="667"/>
      <c r="T3" s="667"/>
      <c r="U3" s="667"/>
      <c r="V3" s="667"/>
      <c r="W3" s="667"/>
      <c r="X3" s="667"/>
      <c r="Y3" s="667"/>
      <c r="Z3" s="667"/>
      <c r="AA3" s="667"/>
      <c r="AB3" s="667"/>
      <c r="AC3" s="667"/>
      <c r="AD3" s="667"/>
      <c r="AE3" s="667"/>
      <c r="AF3" s="667"/>
      <c r="AG3" s="667"/>
      <c r="AH3" s="667"/>
      <c r="AI3" s="667"/>
      <c r="AJ3" s="668"/>
    </row>
    <row r="4" spans="2:36" ht="15" customHeight="1" x14ac:dyDescent="0.4">
      <c r="B4" s="681" t="s">
        <v>0</v>
      </c>
      <c r="C4" s="682"/>
      <c r="D4" s="682"/>
      <c r="E4" s="682"/>
      <c r="F4" s="682"/>
      <c r="G4" s="682"/>
      <c r="H4" s="682"/>
      <c r="I4" s="682"/>
      <c r="J4" s="682"/>
      <c r="K4" s="682"/>
      <c r="L4" s="682"/>
      <c r="M4" s="682"/>
      <c r="N4" s="682"/>
      <c r="O4" s="682"/>
      <c r="P4" s="682"/>
      <c r="Q4" s="682"/>
      <c r="R4" s="682"/>
      <c r="S4" s="682"/>
      <c r="T4" s="682"/>
      <c r="U4" s="682"/>
      <c r="V4" s="682"/>
      <c r="W4" s="682"/>
      <c r="X4" s="682"/>
      <c r="Y4" s="682"/>
      <c r="Z4" s="682"/>
      <c r="AA4" s="682"/>
      <c r="AB4" s="682"/>
      <c r="AC4" s="682"/>
      <c r="AD4" s="682"/>
      <c r="AE4" s="682"/>
      <c r="AF4" s="682"/>
      <c r="AG4" s="682"/>
      <c r="AH4" s="682"/>
      <c r="AI4" s="682"/>
      <c r="AJ4" s="683"/>
    </row>
    <row r="5" spans="2:36" ht="15" customHeight="1" x14ac:dyDescent="0.4">
      <c r="B5" s="684" t="s">
        <v>1</v>
      </c>
      <c r="C5" s="685"/>
      <c r="D5" s="685"/>
      <c r="E5" s="685"/>
      <c r="F5" s="685"/>
      <c r="G5" s="685"/>
      <c r="H5" s="685"/>
      <c r="I5" s="685"/>
      <c r="J5" s="685"/>
      <c r="K5" s="685"/>
      <c r="L5" s="685"/>
      <c r="M5" s="685"/>
      <c r="N5" s="685"/>
      <c r="O5" s="685"/>
      <c r="P5" s="685"/>
      <c r="Q5" s="685"/>
      <c r="R5" s="685"/>
      <c r="S5" s="685"/>
      <c r="T5" s="685"/>
      <c r="U5" s="685"/>
      <c r="V5" s="685"/>
      <c r="W5" s="685"/>
      <c r="X5" s="685"/>
      <c r="Y5" s="685"/>
      <c r="Z5" s="685"/>
      <c r="AA5" s="685"/>
      <c r="AB5" s="685"/>
      <c r="AC5" s="685"/>
      <c r="AD5" s="685"/>
      <c r="AE5" s="685"/>
      <c r="AF5" s="685"/>
      <c r="AG5" s="685"/>
      <c r="AH5" s="685"/>
      <c r="AI5" s="685"/>
      <c r="AJ5" s="686"/>
    </row>
    <row r="6" spans="2:36" ht="15" customHeight="1" x14ac:dyDescent="0.4">
      <c r="B6" s="684" t="s">
        <v>6</v>
      </c>
      <c r="C6" s="685"/>
      <c r="D6" s="685"/>
      <c r="E6" s="685"/>
      <c r="F6" s="685"/>
      <c r="G6" s="685"/>
      <c r="H6" s="685"/>
      <c r="I6" s="685"/>
      <c r="J6" s="685"/>
      <c r="K6" s="685"/>
      <c r="L6" s="685"/>
      <c r="M6" s="685"/>
      <c r="N6" s="685"/>
      <c r="O6" s="685"/>
      <c r="P6" s="685"/>
      <c r="Q6" s="685"/>
      <c r="R6" s="685"/>
      <c r="S6" s="685"/>
      <c r="T6" s="685"/>
      <c r="U6" s="685"/>
      <c r="V6" s="685"/>
      <c r="W6" s="685"/>
      <c r="X6" s="685"/>
      <c r="Y6" s="685"/>
      <c r="Z6" s="685"/>
      <c r="AA6" s="685"/>
      <c r="AB6" s="685"/>
      <c r="AC6" s="685"/>
      <c r="AD6" s="685"/>
      <c r="AE6" s="685"/>
      <c r="AF6" s="685"/>
      <c r="AG6" s="685"/>
      <c r="AH6" s="685"/>
      <c r="AI6" s="685"/>
      <c r="AJ6" s="686"/>
    </row>
    <row r="7" spans="2:36" ht="15" customHeight="1" x14ac:dyDescent="0.4">
      <c r="B7" s="681" t="s">
        <v>2</v>
      </c>
      <c r="C7" s="682"/>
      <c r="D7" s="682"/>
      <c r="E7" s="682"/>
      <c r="F7" s="682"/>
      <c r="G7" s="682"/>
      <c r="H7" s="682"/>
      <c r="I7" s="682"/>
      <c r="J7" s="682"/>
      <c r="K7" s="682"/>
      <c r="L7" s="682"/>
      <c r="M7" s="682"/>
      <c r="N7" s="682"/>
      <c r="O7" s="682"/>
      <c r="P7" s="682"/>
      <c r="Q7" s="682"/>
      <c r="R7" s="682"/>
      <c r="S7" s="682"/>
      <c r="T7" s="682"/>
      <c r="U7" s="682"/>
      <c r="V7" s="682"/>
      <c r="W7" s="682"/>
      <c r="X7" s="682"/>
      <c r="Y7" s="682"/>
      <c r="Z7" s="682"/>
      <c r="AA7" s="682"/>
      <c r="AB7" s="682"/>
      <c r="AC7" s="682"/>
      <c r="AD7" s="682"/>
      <c r="AE7" s="682"/>
      <c r="AF7" s="682"/>
      <c r="AG7" s="682"/>
      <c r="AH7" s="682"/>
      <c r="AI7" s="682"/>
      <c r="AJ7" s="683"/>
    </row>
    <row r="8" spans="2:36" ht="15" customHeight="1" x14ac:dyDescent="0.4">
      <c r="B8" s="663" t="s">
        <v>209</v>
      </c>
      <c r="C8" s="664"/>
      <c r="D8" s="664"/>
      <c r="E8" s="664"/>
      <c r="F8" s="664"/>
      <c r="G8" s="664"/>
      <c r="H8" s="664"/>
      <c r="I8" s="664"/>
      <c r="J8" s="664"/>
      <c r="K8" s="664"/>
      <c r="L8" s="664"/>
      <c r="M8" s="664"/>
      <c r="N8" s="664"/>
      <c r="O8" s="664"/>
      <c r="P8" s="664"/>
      <c r="Q8" s="664"/>
      <c r="R8" s="664"/>
      <c r="S8" s="664"/>
      <c r="T8" s="664"/>
      <c r="U8" s="664"/>
      <c r="V8" s="664"/>
      <c r="W8" s="664"/>
      <c r="X8" s="664"/>
      <c r="Y8" s="664"/>
      <c r="Z8" s="664"/>
      <c r="AA8" s="664"/>
      <c r="AB8" s="664"/>
      <c r="AC8" s="664"/>
      <c r="AD8" s="664"/>
      <c r="AE8" s="664"/>
      <c r="AF8" s="664"/>
      <c r="AG8" s="664"/>
      <c r="AH8" s="664"/>
      <c r="AI8" s="664"/>
      <c r="AJ8" s="665"/>
    </row>
    <row r="9" spans="2:36" ht="15" customHeight="1" x14ac:dyDescent="0.35">
      <c r="B9" s="666"/>
      <c r="C9" s="667"/>
      <c r="D9" s="667"/>
      <c r="E9" s="667"/>
      <c r="F9" s="667"/>
      <c r="G9" s="667"/>
      <c r="H9" s="667"/>
      <c r="I9" s="667"/>
      <c r="J9" s="667"/>
      <c r="K9" s="667"/>
      <c r="L9" s="667"/>
      <c r="M9" s="667"/>
      <c r="N9" s="667"/>
      <c r="O9" s="667"/>
      <c r="P9" s="667"/>
      <c r="Q9" s="667"/>
      <c r="R9" s="667"/>
      <c r="S9" s="667"/>
      <c r="T9" s="667"/>
      <c r="U9" s="667"/>
      <c r="V9" s="667"/>
      <c r="W9" s="667"/>
      <c r="X9" s="667"/>
      <c r="Y9" s="667"/>
      <c r="Z9" s="667"/>
      <c r="AA9" s="667"/>
      <c r="AB9" s="667"/>
      <c r="AC9" s="667"/>
      <c r="AD9" s="667"/>
      <c r="AE9" s="667"/>
      <c r="AF9" s="667"/>
      <c r="AG9" s="667"/>
      <c r="AH9" s="667"/>
      <c r="AI9" s="667"/>
      <c r="AJ9" s="668"/>
    </row>
    <row r="10" spans="2:36" ht="15" customHeight="1" thickBot="1" x14ac:dyDescent="0.4">
      <c r="B10" s="669"/>
      <c r="C10" s="670"/>
      <c r="D10" s="670"/>
      <c r="E10" s="670"/>
      <c r="F10" s="670"/>
      <c r="G10" s="670"/>
      <c r="H10" s="670"/>
      <c r="I10" s="670"/>
      <c r="J10" s="670"/>
      <c r="K10" s="670"/>
      <c r="L10" s="670"/>
      <c r="M10" s="670"/>
      <c r="N10" s="670"/>
      <c r="O10" s="670"/>
      <c r="P10" s="670"/>
      <c r="Q10" s="670"/>
      <c r="R10" s="670"/>
      <c r="S10" s="670"/>
      <c r="T10" s="670"/>
      <c r="U10" s="670"/>
      <c r="V10" s="670"/>
      <c r="W10" s="670"/>
      <c r="X10" s="670"/>
      <c r="Y10" s="670"/>
      <c r="Z10" s="670"/>
      <c r="AA10" s="670"/>
      <c r="AB10" s="670"/>
      <c r="AC10" s="670"/>
      <c r="AD10" s="670"/>
      <c r="AE10" s="670"/>
      <c r="AF10" s="670"/>
      <c r="AG10" s="670"/>
      <c r="AH10" s="670"/>
      <c r="AI10" s="670"/>
      <c r="AJ10" s="671"/>
    </row>
    <row r="11" spans="2:36" ht="15" customHeight="1" x14ac:dyDescent="0.35">
      <c r="B11" s="672" t="s">
        <v>210</v>
      </c>
      <c r="C11" s="673"/>
      <c r="D11" s="673"/>
      <c r="E11" s="673"/>
      <c r="F11" s="673"/>
      <c r="G11" s="673"/>
      <c r="H11" s="673"/>
      <c r="I11" s="673"/>
      <c r="J11" s="673"/>
      <c r="K11" s="673"/>
      <c r="L11" s="673"/>
      <c r="M11" s="673"/>
      <c r="N11" s="673"/>
      <c r="O11" s="673"/>
      <c r="P11" s="673"/>
      <c r="Q11" s="673"/>
      <c r="R11" s="673"/>
      <c r="S11" s="673"/>
      <c r="T11" s="673"/>
      <c r="U11" s="673"/>
      <c r="V11" s="673"/>
      <c r="W11" s="673"/>
      <c r="X11" s="673"/>
      <c r="Y11" s="673"/>
      <c r="Z11" s="673"/>
      <c r="AA11" s="673"/>
      <c r="AB11" s="673"/>
      <c r="AC11" s="673"/>
      <c r="AD11" s="673"/>
      <c r="AE11" s="673"/>
      <c r="AF11" s="673"/>
      <c r="AG11" s="673"/>
      <c r="AH11" s="673"/>
      <c r="AI11" s="673"/>
      <c r="AJ11" s="674"/>
    </row>
    <row r="12" spans="2:36" ht="15" customHeight="1" x14ac:dyDescent="0.35">
      <c r="B12" s="675"/>
      <c r="C12" s="676"/>
      <c r="D12" s="676"/>
      <c r="E12" s="676"/>
      <c r="F12" s="676"/>
      <c r="G12" s="676"/>
      <c r="H12" s="676"/>
      <c r="I12" s="676"/>
      <c r="J12" s="676"/>
      <c r="K12" s="676"/>
      <c r="L12" s="676"/>
      <c r="M12" s="676"/>
      <c r="N12" s="676"/>
      <c r="O12" s="676"/>
      <c r="P12" s="676"/>
      <c r="Q12" s="676"/>
      <c r="R12" s="676"/>
      <c r="S12" s="676"/>
      <c r="T12" s="676"/>
      <c r="U12" s="676"/>
      <c r="V12" s="676"/>
      <c r="W12" s="676"/>
      <c r="X12" s="676"/>
      <c r="Y12" s="676"/>
      <c r="Z12" s="676"/>
      <c r="AA12" s="676"/>
      <c r="AB12" s="676"/>
      <c r="AC12" s="676"/>
      <c r="AD12" s="676"/>
      <c r="AE12" s="676"/>
      <c r="AF12" s="676"/>
      <c r="AG12" s="676"/>
      <c r="AH12" s="676"/>
      <c r="AI12" s="676"/>
      <c r="AJ12" s="677"/>
    </row>
    <row r="13" spans="2:36" ht="15" customHeight="1" x14ac:dyDescent="0.35">
      <c r="B13" s="675"/>
      <c r="C13" s="676"/>
      <c r="D13" s="676"/>
      <c r="E13" s="676"/>
      <c r="F13" s="676"/>
      <c r="G13" s="676"/>
      <c r="H13" s="676"/>
      <c r="I13" s="676"/>
      <c r="J13" s="676"/>
      <c r="K13" s="676"/>
      <c r="L13" s="676"/>
      <c r="M13" s="676"/>
      <c r="N13" s="676"/>
      <c r="O13" s="676"/>
      <c r="P13" s="676"/>
      <c r="Q13" s="676"/>
      <c r="R13" s="676"/>
      <c r="S13" s="676"/>
      <c r="T13" s="676"/>
      <c r="U13" s="676"/>
      <c r="V13" s="676"/>
      <c r="W13" s="676"/>
      <c r="X13" s="676"/>
      <c r="Y13" s="676"/>
      <c r="Z13" s="676"/>
      <c r="AA13" s="676"/>
      <c r="AB13" s="676"/>
      <c r="AC13" s="676"/>
      <c r="AD13" s="676"/>
      <c r="AE13" s="676"/>
      <c r="AF13" s="676"/>
      <c r="AG13" s="676"/>
      <c r="AH13" s="676"/>
      <c r="AI13" s="676"/>
      <c r="AJ13" s="677"/>
    </row>
    <row r="14" spans="2:36" ht="15" customHeight="1" x14ac:dyDescent="0.35">
      <c r="B14" s="675"/>
      <c r="C14" s="676"/>
      <c r="D14" s="676"/>
      <c r="E14" s="676"/>
      <c r="F14" s="676"/>
      <c r="G14" s="676"/>
      <c r="H14" s="676"/>
      <c r="I14" s="676"/>
      <c r="J14" s="676"/>
      <c r="K14" s="676"/>
      <c r="L14" s="676"/>
      <c r="M14" s="676"/>
      <c r="N14" s="676"/>
      <c r="O14" s="676"/>
      <c r="P14" s="676"/>
      <c r="Q14" s="676"/>
      <c r="R14" s="676"/>
      <c r="S14" s="676"/>
      <c r="T14" s="676"/>
      <c r="U14" s="676"/>
      <c r="V14" s="676"/>
      <c r="W14" s="676"/>
      <c r="X14" s="676"/>
      <c r="Y14" s="676"/>
      <c r="Z14" s="676"/>
      <c r="AA14" s="676"/>
      <c r="AB14" s="676"/>
      <c r="AC14" s="676"/>
      <c r="AD14" s="676"/>
      <c r="AE14" s="676"/>
      <c r="AF14" s="676"/>
      <c r="AG14" s="676"/>
      <c r="AH14" s="676"/>
      <c r="AI14" s="676"/>
      <c r="AJ14" s="677"/>
    </row>
    <row r="15" spans="2:36" ht="15" customHeight="1" x14ac:dyDescent="0.35">
      <c r="B15" s="675"/>
      <c r="C15" s="676"/>
      <c r="D15" s="676"/>
      <c r="E15" s="676"/>
      <c r="F15" s="676"/>
      <c r="G15" s="676"/>
      <c r="H15" s="676"/>
      <c r="I15" s="676"/>
      <c r="J15" s="676"/>
      <c r="K15" s="676"/>
      <c r="L15" s="676"/>
      <c r="M15" s="676"/>
      <c r="N15" s="676"/>
      <c r="O15" s="676"/>
      <c r="P15" s="676"/>
      <c r="Q15" s="676"/>
      <c r="R15" s="676"/>
      <c r="S15" s="676"/>
      <c r="T15" s="676"/>
      <c r="U15" s="676"/>
      <c r="V15" s="676"/>
      <c r="W15" s="676"/>
      <c r="X15" s="676"/>
      <c r="Y15" s="676"/>
      <c r="Z15" s="676"/>
      <c r="AA15" s="676"/>
      <c r="AB15" s="676"/>
      <c r="AC15" s="676"/>
      <c r="AD15" s="676"/>
      <c r="AE15" s="676"/>
      <c r="AF15" s="676"/>
      <c r="AG15" s="676"/>
      <c r="AH15" s="676"/>
      <c r="AI15" s="676"/>
      <c r="AJ15" s="677"/>
    </row>
    <row r="16" spans="2:36" ht="15" customHeight="1" thickBot="1" x14ac:dyDescent="0.45">
      <c r="B16" s="249"/>
      <c r="C16" s="250"/>
      <c r="D16" s="251"/>
      <c r="E16" s="251"/>
      <c r="F16" s="251"/>
      <c r="G16" s="251"/>
      <c r="H16" s="251"/>
      <c r="I16" s="251"/>
      <c r="J16" s="251"/>
      <c r="K16" s="251"/>
      <c r="L16" s="251"/>
      <c r="M16" s="251"/>
      <c r="N16" s="251"/>
      <c r="O16" s="251"/>
      <c r="P16" s="251"/>
      <c r="Q16" s="251"/>
      <c r="R16" s="251"/>
      <c r="S16" s="251"/>
      <c r="T16" s="251"/>
      <c r="U16" s="251"/>
      <c r="V16" s="251"/>
      <c r="W16" s="251"/>
      <c r="X16" s="251"/>
      <c r="Y16" s="687" t="s">
        <v>142</v>
      </c>
      <c r="Z16" s="687"/>
      <c r="AA16" s="687"/>
      <c r="AB16" s="688"/>
      <c r="AC16" s="688"/>
      <c r="AD16" s="688"/>
      <c r="AE16" s="688"/>
      <c r="AF16" s="688"/>
      <c r="AG16" s="688"/>
      <c r="AH16" s="688"/>
      <c r="AI16" s="688"/>
      <c r="AJ16" s="259"/>
    </row>
    <row r="17" spans="2:47" ht="15" customHeight="1" thickBot="1" x14ac:dyDescent="0.45">
      <c r="B17" s="249"/>
      <c r="C17" s="251"/>
      <c r="D17" s="251"/>
      <c r="E17" s="251"/>
      <c r="F17" s="251"/>
      <c r="G17" s="251"/>
      <c r="H17" s="251"/>
      <c r="I17" s="251"/>
      <c r="J17" s="251"/>
      <c r="K17" s="251"/>
      <c r="L17" s="251"/>
      <c r="M17" s="251"/>
      <c r="N17" s="251"/>
      <c r="O17" s="251"/>
      <c r="P17" s="251"/>
      <c r="Q17" s="251"/>
      <c r="R17" s="251"/>
      <c r="S17" s="251"/>
      <c r="T17" s="251"/>
      <c r="U17" s="251"/>
      <c r="V17" s="251"/>
      <c r="W17" s="251"/>
      <c r="X17" s="251"/>
      <c r="Y17" s="687" t="s">
        <v>211</v>
      </c>
      <c r="Z17" s="687"/>
      <c r="AA17" s="687"/>
      <c r="AB17" s="690"/>
      <c r="AC17" s="690"/>
      <c r="AD17" s="690"/>
      <c r="AE17" s="690"/>
      <c r="AF17" s="690"/>
      <c r="AG17" s="690"/>
      <c r="AH17" s="690"/>
      <c r="AI17" s="690"/>
      <c r="AJ17" s="259"/>
      <c r="AK17" s="252"/>
    </row>
    <row r="18" spans="2:47" ht="15" customHeight="1" x14ac:dyDescent="0.4">
      <c r="B18" s="249"/>
      <c r="C18" s="250"/>
      <c r="D18" s="250"/>
      <c r="E18" s="250"/>
      <c r="F18" s="250"/>
      <c r="G18" s="250"/>
      <c r="H18" s="250"/>
      <c r="I18" s="250"/>
      <c r="J18" s="250"/>
      <c r="K18" s="250"/>
      <c r="L18" s="250"/>
      <c r="M18" s="250"/>
      <c r="N18" s="250"/>
      <c r="O18" s="250"/>
      <c r="P18" s="250"/>
      <c r="Q18" s="250"/>
      <c r="R18" s="250"/>
      <c r="S18" s="250"/>
      <c r="T18" s="250"/>
      <c r="U18" s="250"/>
      <c r="V18" s="250"/>
      <c r="W18" s="250"/>
      <c r="X18" s="250"/>
      <c r="Y18" s="250"/>
      <c r="Z18" s="250"/>
      <c r="AA18" s="250"/>
      <c r="AB18" s="250"/>
      <c r="AC18" s="250"/>
      <c r="AD18" s="250"/>
      <c r="AE18" s="250"/>
      <c r="AF18" s="250"/>
      <c r="AG18" s="250"/>
      <c r="AH18" s="250"/>
      <c r="AI18" s="250"/>
      <c r="AJ18" s="253"/>
    </row>
    <row r="19" spans="2:47" s="264" customFormat="1" ht="15" customHeight="1" thickBot="1" x14ac:dyDescent="0.5">
      <c r="B19" s="261"/>
      <c r="C19" s="687" t="s">
        <v>155</v>
      </c>
      <c r="D19" s="687"/>
      <c r="E19" s="687"/>
      <c r="F19" s="687"/>
      <c r="G19" s="688" t="str">
        <f>Input!C2</f>
        <v>James E. Rosales</v>
      </c>
      <c r="H19" s="688"/>
      <c r="I19" s="688"/>
      <c r="J19" s="688"/>
      <c r="K19" s="688"/>
      <c r="L19" s="688"/>
      <c r="M19" s="688"/>
      <c r="N19" s="688"/>
      <c r="O19" s="688"/>
      <c r="P19" s="688"/>
      <c r="Q19" s="262"/>
      <c r="R19" s="687" t="s">
        <v>212</v>
      </c>
      <c r="S19" s="687"/>
      <c r="T19" s="687"/>
      <c r="U19" s="687"/>
      <c r="V19" s="687"/>
      <c r="W19" s="687"/>
      <c r="X19" s="689">
        <f>Input!C5</f>
        <v>35106</v>
      </c>
      <c r="Y19" s="688"/>
      <c r="Z19" s="688"/>
      <c r="AA19" s="688"/>
      <c r="AB19" s="688"/>
      <c r="AC19" s="688"/>
      <c r="AD19" s="688"/>
      <c r="AE19" s="688"/>
      <c r="AF19" s="688"/>
      <c r="AG19" s="688"/>
      <c r="AH19" s="688"/>
      <c r="AI19" s="688"/>
      <c r="AJ19" s="263"/>
    </row>
    <row r="20" spans="2:47" s="264" customFormat="1" ht="15" customHeight="1" thickBot="1" x14ac:dyDescent="0.5">
      <c r="B20" s="261"/>
      <c r="C20" s="687" t="s">
        <v>156</v>
      </c>
      <c r="D20" s="687"/>
      <c r="E20" s="687"/>
      <c r="F20" s="687"/>
      <c r="G20" s="690" t="str">
        <f>Input!C4</f>
        <v>Information Systems Analyst II</v>
      </c>
      <c r="H20" s="690"/>
      <c r="I20" s="690"/>
      <c r="J20" s="690"/>
      <c r="K20" s="690"/>
      <c r="L20" s="690"/>
      <c r="M20" s="690"/>
      <c r="N20" s="690"/>
      <c r="O20" s="690"/>
      <c r="P20" s="690"/>
      <c r="Q20" s="254"/>
      <c r="R20" s="687" t="s">
        <v>213</v>
      </c>
      <c r="S20" s="687"/>
      <c r="T20" s="687"/>
      <c r="U20" s="687"/>
      <c r="V20" s="687"/>
      <c r="W20" s="687"/>
      <c r="X20" s="690" t="s">
        <v>214</v>
      </c>
      <c r="Y20" s="690"/>
      <c r="Z20" s="690"/>
      <c r="AA20" s="690"/>
      <c r="AB20" s="690"/>
      <c r="AC20" s="690"/>
      <c r="AD20" s="690"/>
      <c r="AE20" s="690"/>
      <c r="AF20" s="690"/>
      <c r="AG20" s="690"/>
      <c r="AH20" s="690"/>
      <c r="AI20" s="690"/>
      <c r="AJ20" s="259"/>
    </row>
    <row r="21" spans="2:47" s="264" customFormat="1" ht="15" customHeight="1" x14ac:dyDescent="0.45">
      <c r="B21" s="261"/>
      <c r="C21" s="254"/>
      <c r="D21" s="254"/>
      <c r="E21" s="255"/>
      <c r="F21" s="255"/>
      <c r="G21" s="254"/>
      <c r="H21" s="692"/>
      <c r="I21" s="692"/>
      <c r="J21" s="692"/>
      <c r="K21" s="692"/>
      <c r="L21" s="692"/>
      <c r="M21" s="692"/>
      <c r="N21" s="692"/>
      <c r="O21" s="692"/>
      <c r="P21" s="692"/>
      <c r="Q21" s="692"/>
      <c r="R21" s="692"/>
      <c r="S21" s="692"/>
      <c r="T21" s="692"/>
      <c r="U21" s="692"/>
      <c r="V21" s="692"/>
      <c r="W21" s="692"/>
      <c r="X21" s="692"/>
      <c r="Y21" s="692"/>
      <c r="Z21" s="692"/>
      <c r="AA21" s="692"/>
      <c r="AB21" s="692"/>
      <c r="AC21" s="692"/>
      <c r="AD21" s="692"/>
      <c r="AE21" s="692"/>
      <c r="AF21" s="692"/>
      <c r="AG21" s="692"/>
      <c r="AH21" s="692"/>
      <c r="AI21" s="692"/>
      <c r="AJ21" s="258"/>
    </row>
    <row r="22" spans="2:47" s="264" customFormat="1" ht="15" customHeight="1" thickBot="1" x14ac:dyDescent="0.5">
      <c r="B22" s="261"/>
      <c r="C22" s="687" t="s">
        <v>215</v>
      </c>
      <c r="D22" s="687"/>
      <c r="E22" s="687"/>
      <c r="F22" s="687"/>
      <c r="G22" s="687"/>
      <c r="H22" s="687"/>
      <c r="I22" s="687"/>
      <c r="J22" s="693" t="str">
        <f>Input!C25</f>
        <v>September 8, 2026</v>
      </c>
      <c r="K22" s="693"/>
      <c r="L22" s="693"/>
      <c r="M22" s="693"/>
      <c r="N22" s="693"/>
      <c r="O22" s="693"/>
      <c r="P22" s="693"/>
      <c r="Q22" s="255"/>
      <c r="R22" s="687" t="s">
        <v>216</v>
      </c>
      <c r="S22" s="687"/>
      <c r="T22" s="687"/>
      <c r="U22" s="687"/>
      <c r="V22" s="687"/>
      <c r="W22" s="687"/>
      <c r="X22" s="693" t="str">
        <f>Input!C26</f>
        <v>September 10, 2026</v>
      </c>
      <c r="Y22" s="693"/>
      <c r="Z22" s="693"/>
      <c r="AA22" s="693"/>
      <c r="AB22" s="693"/>
      <c r="AC22" s="693"/>
      <c r="AD22" s="693"/>
      <c r="AE22" s="693"/>
      <c r="AF22" s="693"/>
      <c r="AG22" s="693"/>
      <c r="AH22" s="693"/>
      <c r="AI22" s="693"/>
      <c r="AJ22" s="259"/>
    </row>
    <row r="23" spans="2:47" s="264" customFormat="1" ht="15" customHeight="1" x14ac:dyDescent="0.45">
      <c r="B23" s="261"/>
      <c r="C23" s="254"/>
      <c r="D23" s="254"/>
      <c r="E23" s="255"/>
      <c r="F23" s="255"/>
      <c r="G23" s="254"/>
      <c r="H23" s="254"/>
      <c r="I23" s="254"/>
      <c r="J23" s="254"/>
      <c r="K23" s="692"/>
      <c r="L23" s="692"/>
      <c r="M23" s="692"/>
      <c r="N23" s="692"/>
      <c r="O23" s="692"/>
      <c r="P23" s="692"/>
      <c r="Q23" s="692"/>
      <c r="R23" s="692"/>
      <c r="S23" s="692"/>
      <c r="T23" s="692"/>
      <c r="U23" s="692"/>
      <c r="V23" s="692"/>
      <c r="W23" s="692"/>
      <c r="X23" s="692"/>
      <c r="Y23" s="692"/>
      <c r="Z23" s="692"/>
      <c r="AA23" s="692"/>
      <c r="AB23" s="692"/>
      <c r="AC23" s="692"/>
      <c r="AD23" s="692"/>
      <c r="AE23" s="692"/>
      <c r="AF23" s="692"/>
      <c r="AG23" s="692"/>
      <c r="AH23" s="692"/>
      <c r="AI23" s="692"/>
      <c r="AJ23" s="258"/>
    </row>
    <row r="24" spans="2:47" s="264" customFormat="1" ht="15" customHeight="1" thickBot="1" x14ac:dyDescent="0.5">
      <c r="B24" s="261"/>
      <c r="C24" s="687" t="s">
        <v>217</v>
      </c>
      <c r="D24" s="687"/>
      <c r="E24" s="687"/>
      <c r="F24" s="687"/>
      <c r="G24" s="687"/>
      <c r="H24" s="687"/>
      <c r="I24" s="687"/>
      <c r="J24" s="691" t="str">
        <f>Input!C27</f>
        <v>Cabataña Farm, Brgy. Buena Gracia, Talacogon, Agusan del Sur</v>
      </c>
      <c r="K24" s="694"/>
      <c r="L24" s="694"/>
      <c r="M24" s="694"/>
      <c r="N24" s="694"/>
      <c r="O24" s="694"/>
      <c r="P24" s="694"/>
      <c r="Q24" s="694"/>
      <c r="R24" s="694"/>
      <c r="S24" s="694"/>
      <c r="T24" s="694"/>
      <c r="U24" s="694"/>
      <c r="V24" s="694"/>
      <c r="W24" s="694"/>
      <c r="X24" s="694"/>
      <c r="Y24" s="694"/>
      <c r="Z24" s="694"/>
      <c r="AA24" s="694"/>
      <c r="AB24" s="694"/>
      <c r="AC24" s="694"/>
      <c r="AD24" s="694"/>
      <c r="AE24" s="694"/>
      <c r="AF24" s="694"/>
      <c r="AG24" s="694"/>
      <c r="AH24" s="694"/>
      <c r="AI24" s="694"/>
      <c r="AJ24" s="258"/>
    </row>
    <row r="25" spans="2:47" s="264" customFormat="1" ht="15" customHeight="1" x14ac:dyDescent="0.45">
      <c r="B25" s="261"/>
      <c r="C25" s="254"/>
      <c r="D25" s="254"/>
      <c r="E25" s="255"/>
      <c r="F25" s="255"/>
      <c r="G25" s="254"/>
      <c r="H25" s="254"/>
      <c r="I25" s="254"/>
      <c r="J25" s="254"/>
      <c r="K25" s="254"/>
      <c r="L25" s="254"/>
      <c r="M25" s="254"/>
      <c r="N25" s="254"/>
      <c r="O25" s="254"/>
      <c r="P25" s="254"/>
      <c r="Q25" s="254"/>
      <c r="R25" s="254"/>
      <c r="S25" s="254"/>
      <c r="T25" s="254"/>
      <c r="U25" s="254"/>
      <c r="V25" s="254"/>
      <c r="W25" s="254"/>
      <c r="X25" s="254"/>
      <c r="Y25" s="254"/>
      <c r="Z25" s="254"/>
      <c r="AA25" s="254"/>
      <c r="AB25" s="254"/>
      <c r="AC25" s="254"/>
      <c r="AD25" s="254"/>
      <c r="AE25" s="254"/>
      <c r="AF25" s="254"/>
      <c r="AG25" s="254"/>
      <c r="AH25" s="254"/>
      <c r="AI25" s="254"/>
      <c r="AJ25" s="258"/>
    </row>
    <row r="26" spans="2:47" s="264" customFormat="1" ht="15" customHeight="1" thickBot="1" x14ac:dyDescent="0.5">
      <c r="B26" s="261"/>
      <c r="C26" s="687" t="s">
        <v>218</v>
      </c>
      <c r="D26" s="687"/>
      <c r="E26" s="687"/>
      <c r="F26" s="687"/>
      <c r="G26" s="687"/>
      <c r="H26" s="687"/>
      <c r="I26" s="687"/>
      <c r="J26" s="687"/>
      <c r="K26" s="687"/>
      <c r="L26" s="687"/>
      <c r="M26" s="687"/>
      <c r="N26" s="691" t="str">
        <f>Input!C28</f>
        <v>Training on Climate-Resilient Rice Production</v>
      </c>
      <c r="O26" s="688"/>
      <c r="P26" s="688"/>
      <c r="Q26" s="688"/>
      <c r="R26" s="688"/>
      <c r="S26" s="688"/>
      <c r="T26" s="688"/>
      <c r="U26" s="688"/>
      <c r="V26" s="688"/>
      <c r="W26" s="688"/>
      <c r="X26" s="688"/>
      <c r="Y26" s="688"/>
      <c r="Z26" s="688"/>
      <c r="AA26" s="688"/>
      <c r="AB26" s="688"/>
      <c r="AC26" s="688"/>
      <c r="AD26" s="688"/>
      <c r="AE26" s="688"/>
      <c r="AF26" s="688"/>
      <c r="AG26" s="688"/>
      <c r="AH26" s="688"/>
      <c r="AI26" s="688"/>
      <c r="AJ26" s="258"/>
    </row>
    <row r="27" spans="2:47" s="264" customFormat="1" ht="15" customHeight="1" thickBot="1" x14ac:dyDescent="0.5">
      <c r="B27" s="261"/>
      <c r="C27" s="688"/>
      <c r="D27" s="688"/>
      <c r="E27" s="688"/>
      <c r="F27" s="688"/>
      <c r="G27" s="688"/>
      <c r="H27" s="688"/>
      <c r="I27" s="688"/>
      <c r="J27" s="688"/>
      <c r="K27" s="688"/>
      <c r="L27" s="688"/>
      <c r="M27" s="688"/>
      <c r="N27" s="688"/>
      <c r="O27" s="688"/>
      <c r="P27" s="688"/>
      <c r="Q27" s="688"/>
      <c r="R27" s="688"/>
      <c r="S27" s="688"/>
      <c r="T27" s="688"/>
      <c r="U27" s="688"/>
      <c r="V27" s="688"/>
      <c r="W27" s="688"/>
      <c r="X27" s="688"/>
      <c r="Y27" s="688"/>
      <c r="Z27" s="688"/>
      <c r="AA27" s="688"/>
      <c r="AB27" s="688"/>
      <c r="AC27" s="688"/>
      <c r="AD27" s="688"/>
      <c r="AE27" s="688"/>
      <c r="AF27" s="688"/>
      <c r="AG27" s="688"/>
      <c r="AH27" s="688"/>
      <c r="AI27" s="688"/>
      <c r="AJ27" s="258"/>
    </row>
    <row r="28" spans="2:47" s="264" customFormat="1" ht="15" customHeight="1" x14ac:dyDescent="0.45">
      <c r="B28" s="261"/>
      <c r="C28" s="254"/>
      <c r="D28" s="254"/>
      <c r="E28" s="255"/>
      <c r="F28" s="255"/>
      <c r="G28" s="255"/>
      <c r="H28" s="255"/>
      <c r="I28" s="254"/>
      <c r="J28" s="255"/>
      <c r="K28" s="255"/>
      <c r="L28" s="255"/>
      <c r="M28" s="255"/>
      <c r="N28" s="254"/>
      <c r="O28" s="254"/>
      <c r="P28" s="254"/>
      <c r="Q28" s="254"/>
      <c r="R28" s="254"/>
      <c r="S28" s="254"/>
      <c r="T28" s="254"/>
      <c r="U28" s="254"/>
      <c r="V28" s="254"/>
      <c r="W28" s="254"/>
      <c r="X28" s="254"/>
      <c r="Y28" s="254"/>
      <c r="Z28" s="254"/>
      <c r="AA28" s="254"/>
      <c r="AB28" s="254"/>
      <c r="AC28" s="254"/>
      <c r="AD28" s="254"/>
      <c r="AE28" s="254"/>
      <c r="AF28" s="254"/>
      <c r="AG28" s="254"/>
      <c r="AH28" s="254"/>
      <c r="AI28" s="254"/>
      <c r="AJ28" s="258"/>
    </row>
    <row r="29" spans="2:47" s="264" customFormat="1" ht="15" customHeight="1" thickBot="1" x14ac:dyDescent="0.5">
      <c r="B29" s="261"/>
      <c r="C29" s="687" t="s">
        <v>219</v>
      </c>
      <c r="D29" s="687"/>
      <c r="E29" s="687"/>
      <c r="F29" s="687"/>
      <c r="G29" s="687"/>
      <c r="H29" s="687"/>
      <c r="I29" s="687"/>
      <c r="J29" s="687"/>
      <c r="K29" s="691" t="str">
        <f>Input!C29</f>
        <v>Capacitate skills with Palayamanan Plus Approach</v>
      </c>
      <c r="L29" s="688"/>
      <c r="M29" s="688"/>
      <c r="N29" s="688"/>
      <c r="O29" s="688"/>
      <c r="P29" s="688"/>
      <c r="Q29" s="688"/>
      <c r="R29" s="688"/>
      <c r="S29" s="688"/>
      <c r="T29" s="688"/>
      <c r="U29" s="688"/>
      <c r="V29" s="688"/>
      <c r="W29" s="688"/>
      <c r="X29" s="688"/>
      <c r="Y29" s="688"/>
      <c r="Z29" s="688"/>
      <c r="AA29" s="688"/>
      <c r="AB29" s="688"/>
      <c r="AC29" s="688"/>
      <c r="AD29" s="688"/>
      <c r="AE29" s="688"/>
      <c r="AF29" s="688"/>
      <c r="AG29" s="688"/>
      <c r="AH29" s="688"/>
      <c r="AI29" s="688"/>
      <c r="AJ29" s="259"/>
      <c r="AK29" s="265"/>
    </row>
    <row r="30" spans="2:47" s="264" customFormat="1" ht="15" customHeight="1" x14ac:dyDescent="0.45">
      <c r="B30" s="261"/>
      <c r="C30" s="254"/>
      <c r="D30" s="254"/>
      <c r="E30" s="255"/>
      <c r="F30" s="255"/>
      <c r="G30" s="255"/>
      <c r="H30" s="255"/>
      <c r="I30" s="254"/>
      <c r="J30" s="255"/>
      <c r="K30" s="255"/>
      <c r="L30" s="255"/>
      <c r="M30" s="255"/>
      <c r="N30" s="254"/>
      <c r="O30" s="254"/>
      <c r="P30" s="254"/>
      <c r="Q30" s="254"/>
      <c r="R30" s="254"/>
      <c r="S30" s="254"/>
      <c r="T30" s="254"/>
      <c r="U30" s="254"/>
      <c r="V30" s="254"/>
      <c r="W30" s="254"/>
      <c r="X30" s="254"/>
      <c r="Y30" s="254"/>
      <c r="Z30" s="254"/>
      <c r="AA30" s="254"/>
      <c r="AB30" s="254"/>
      <c r="AC30" s="254"/>
      <c r="AD30" s="254"/>
      <c r="AE30" s="254"/>
      <c r="AF30" s="254"/>
      <c r="AG30" s="254"/>
      <c r="AH30" s="254"/>
      <c r="AI30" s="254"/>
      <c r="AJ30" s="258"/>
    </row>
    <row r="31" spans="2:47" s="264" customFormat="1" ht="15" customHeight="1" thickBot="1" x14ac:dyDescent="0.5">
      <c r="B31" s="261"/>
      <c r="C31" s="687" t="s">
        <v>220</v>
      </c>
      <c r="D31" s="687"/>
      <c r="E31" s="687"/>
      <c r="F31" s="687"/>
      <c r="G31" s="687"/>
      <c r="H31" s="687"/>
      <c r="I31" s="687"/>
      <c r="J31" s="687"/>
      <c r="K31" s="695" t="str">
        <f>Input!C30</f>
        <v>Yes</v>
      </c>
      <c r="L31" s="696"/>
      <c r="M31" s="696"/>
      <c r="N31" s="696"/>
      <c r="O31" s="696"/>
      <c r="P31" s="696"/>
      <c r="Q31" s="696"/>
      <c r="R31" s="696"/>
      <c r="S31" s="696"/>
      <c r="T31" s="696"/>
      <c r="U31" s="696"/>
      <c r="V31" s="696"/>
      <c r="W31" s="696"/>
      <c r="X31" s="696"/>
      <c r="Y31" s="696"/>
      <c r="Z31" s="696"/>
      <c r="AA31" s="696"/>
      <c r="AB31" s="696"/>
      <c r="AC31" s="696"/>
      <c r="AD31" s="696"/>
      <c r="AE31" s="696"/>
      <c r="AF31" s="696"/>
      <c r="AG31" s="696"/>
      <c r="AH31" s="696"/>
      <c r="AI31" s="696"/>
      <c r="AJ31" s="258"/>
      <c r="AS31" s="266" t="s">
        <v>3</v>
      </c>
      <c r="AT31" s="266"/>
      <c r="AU31" s="266"/>
    </row>
    <row r="32" spans="2:47" s="264" customFormat="1" ht="15" customHeight="1" x14ac:dyDescent="0.45">
      <c r="B32" s="261"/>
      <c r="C32" s="254"/>
      <c r="D32" s="254"/>
      <c r="E32" s="255"/>
      <c r="F32" s="255"/>
      <c r="G32" s="254"/>
      <c r="H32" s="254"/>
      <c r="I32" s="254"/>
      <c r="J32" s="254"/>
      <c r="K32" s="254"/>
      <c r="L32" s="697"/>
      <c r="M32" s="697"/>
      <c r="N32" s="697"/>
      <c r="O32" s="697"/>
      <c r="P32" s="697"/>
      <c r="Q32" s="697"/>
      <c r="R32" s="697"/>
      <c r="S32" s="697"/>
      <c r="T32" s="697"/>
      <c r="U32" s="697"/>
      <c r="V32" s="697"/>
      <c r="W32" s="697"/>
      <c r="X32" s="697"/>
      <c r="Y32" s="697"/>
      <c r="Z32" s="697"/>
      <c r="AA32" s="697"/>
      <c r="AB32" s="697"/>
      <c r="AC32" s="697"/>
      <c r="AD32" s="697"/>
      <c r="AE32" s="697"/>
      <c r="AF32" s="697"/>
      <c r="AG32" s="697"/>
      <c r="AH32" s="697"/>
      <c r="AI32" s="697"/>
      <c r="AJ32" s="258"/>
    </row>
    <row r="33" spans="2:36" s="264" customFormat="1" ht="15" customHeight="1" thickBot="1" x14ac:dyDescent="0.5">
      <c r="B33" s="261"/>
      <c r="C33" s="687" t="s">
        <v>221</v>
      </c>
      <c r="D33" s="687"/>
      <c r="E33" s="687"/>
      <c r="F33" s="687"/>
      <c r="G33" s="687"/>
      <c r="H33" s="687"/>
      <c r="I33" s="687"/>
      <c r="J33" s="687"/>
      <c r="K33" s="687"/>
      <c r="L33" s="687"/>
      <c r="M33" s="687"/>
      <c r="N33" s="698" t="str">
        <f>Input!C31</f>
        <v>No</v>
      </c>
      <c r="O33" s="698"/>
      <c r="P33" s="698"/>
      <c r="Q33" s="698"/>
      <c r="R33" s="698"/>
      <c r="S33" s="698"/>
      <c r="T33" s="698"/>
      <c r="U33" s="698"/>
      <c r="V33" s="698"/>
      <c r="W33" s="698"/>
      <c r="X33" s="698"/>
      <c r="Y33" s="698"/>
      <c r="Z33" s="698"/>
      <c r="AA33" s="698"/>
      <c r="AB33" s="698"/>
      <c r="AC33" s="698"/>
      <c r="AD33" s="698"/>
      <c r="AE33" s="698"/>
      <c r="AF33" s="698"/>
      <c r="AG33" s="698"/>
      <c r="AH33" s="698"/>
      <c r="AI33" s="698"/>
      <c r="AJ33" s="267"/>
    </row>
    <row r="34" spans="2:36" s="264" customFormat="1" ht="15" customHeight="1" x14ac:dyDescent="0.45">
      <c r="B34" s="261"/>
      <c r="C34" s="254"/>
      <c r="D34" s="254"/>
      <c r="E34" s="255"/>
      <c r="F34" s="255"/>
      <c r="G34" s="254"/>
      <c r="H34" s="254"/>
      <c r="I34" s="254"/>
      <c r="J34" s="254"/>
      <c r="K34" s="692"/>
      <c r="L34" s="692"/>
      <c r="M34" s="692"/>
      <c r="N34" s="692"/>
      <c r="O34" s="692"/>
      <c r="P34" s="692"/>
      <c r="Q34" s="692"/>
      <c r="R34" s="692"/>
      <c r="S34" s="692"/>
      <c r="T34" s="692"/>
      <c r="U34" s="692"/>
      <c r="V34" s="692"/>
      <c r="W34" s="692"/>
      <c r="X34" s="692"/>
      <c r="Y34" s="692"/>
      <c r="Z34" s="692"/>
      <c r="AA34" s="692"/>
      <c r="AB34" s="692"/>
      <c r="AC34" s="692"/>
      <c r="AD34" s="692"/>
      <c r="AE34" s="692"/>
      <c r="AF34" s="692"/>
      <c r="AG34" s="692"/>
      <c r="AH34" s="692"/>
      <c r="AI34" s="692"/>
      <c r="AJ34" s="258"/>
    </row>
    <row r="35" spans="2:36" s="264" customFormat="1" ht="15" customHeight="1" thickBot="1" x14ac:dyDescent="0.5">
      <c r="B35" s="261"/>
      <c r="C35" s="687" t="s">
        <v>222</v>
      </c>
      <c r="D35" s="687"/>
      <c r="E35" s="687"/>
      <c r="F35" s="687"/>
      <c r="G35" s="687"/>
      <c r="H35" s="687"/>
      <c r="I35" s="687"/>
      <c r="J35" s="687"/>
      <c r="K35" s="687"/>
      <c r="L35" s="687"/>
      <c r="M35" s="687"/>
      <c r="N35" s="687"/>
      <c r="O35" s="687"/>
      <c r="P35" s="687"/>
      <c r="Q35" s="687"/>
      <c r="R35" s="687"/>
      <c r="S35" s="687"/>
      <c r="T35" s="687"/>
      <c r="U35" s="706" t="str">
        <f>Input!C19</f>
        <v>Agricultural Statistics Funds</v>
      </c>
      <c r="V35" s="688"/>
      <c r="W35" s="688"/>
      <c r="X35" s="688"/>
      <c r="Y35" s="688"/>
      <c r="Z35" s="688"/>
      <c r="AA35" s="688"/>
      <c r="AB35" s="688"/>
      <c r="AC35" s="688"/>
      <c r="AD35" s="688"/>
      <c r="AE35" s="688"/>
      <c r="AF35" s="688"/>
      <c r="AG35" s="688"/>
      <c r="AH35" s="688"/>
      <c r="AI35" s="688"/>
      <c r="AJ35" s="258"/>
    </row>
    <row r="36" spans="2:36" s="264" customFormat="1" ht="15" customHeight="1" x14ac:dyDescent="0.45">
      <c r="B36" s="261"/>
      <c r="C36" s="254"/>
      <c r="D36" s="254"/>
      <c r="E36" s="255"/>
      <c r="F36" s="255"/>
      <c r="G36" s="255"/>
      <c r="H36" s="255"/>
      <c r="I36" s="255"/>
      <c r="J36" s="255"/>
      <c r="K36" s="255"/>
      <c r="L36" s="255"/>
      <c r="M36" s="255"/>
      <c r="N36" s="255"/>
      <c r="O36" s="255"/>
      <c r="P36" s="255"/>
      <c r="Q36" s="255"/>
      <c r="R36" s="255"/>
      <c r="S36" s="255"/>
      <c r="T36" s="255"/>
      <c r="U36" s="255"/>
      <c r="V36" s="255"/>
      <c r="W36" s="255"/>
      <c r="X36" s="255"/>
      <c r="Y36" s="255"/>
      <c r="Z36" s="255"/>
      <c r="AA36" s="255"/>
      <c r="AB36" s="255"/>
      <c r="AC36" s="255"/>
      <c r="AD36" s="255"/>
      <c r="AE36" s="255"/>
      <c r="AF36" s="255"/>
      <c r="AG36" s="255"/>
      <c r="AH36" s="255"/>
      <c r="AI36" s="262"/>
      <c r="AJ36" s="259"/>
    </row>
    <row r="37" spans="2:36" s="264" customFormat="1" ht="15" customHeight="1" thickBot="1" x14ac:dyDescent="0.5">
      <c r="B37" s="261"/>
      <c r="C37" s="687" t="s">
        <v>223</v>
      </c>
      <c r="D37" s="687"/>
      <c r="E37" s="687"/>
      <c r="F37" s="687"/>
      <c r="G37" s="687"/>
      <c r="H37" s="687"/>
      <c r="I37" s="687"/>
      <c r="J37" s="687"/>
      <c r="K37" s="687"/>
      <c r="L37" s="687"/>
      <c r="M37" s="687"/>
      <c r="N37" s="687"/>
      <c r="O37" s="688"/>
      <c r="P37" s="688"/>
      <c r="Q37" s="688"/>
      <c r="R37" s="688"/>
      <c r="S37" s="688"/>
      <c r="T37" s="688"/>
      <c r="U37" s="688"/>
      <c r="V37" s="688"/>
      <c r="W37" s="688"/>
      <c r="X37" s="688"/>
      <c r="Y37" s="688"/>
      <c r="Z37" s="688"/>
      <c r="AA37" s="688"/>
      <c r="AB37" s="688"/>
      <c r="AC37" s="688"/>
      <c r="AD37" s="688"/>
      <c r="AE37" s="688"/>
      <c r="AF37" s="688"/>
      <c r="AG37" s="688"/>
      <c r="AH37" s="688"/>
      <c r="AI37" s="688"/>
      <c r="AJ37" s="259"/>
    </row>
    <row r="38" spans="2:36" s="264" customFormat="1" ht="15" customHeight="1" x14ac:dyDescent="0.45">
      <c r="B38" s="261"/>
      <c r="C38" s="255"/>
      <c r="D38" s="255"/>
      <c r="E38" s="255"/>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C38" s="255"/>
      <c r="AD38" s="255"/>
      <c r="AE38" s="255"/>
      <c r="AF38" s="255"/>
      <c r="AG38" s="255"/>
      <c r="AH38" s="255"/>
      <c r="AI38" s="262"/>
      <c r="AJ38" s="259"/>
    </row>
    <row r="39" spans="2:36" s="264" customFormat="1" ht="15" customHeight="1" x14ac:dyDescent="0.45">
      <c r="B39" s="261"/>
      <c r="C39" s="692" t="s">
        <v>224</v>
      </c>
      <c r="D39" s="692"/>
      <c r="E39" s="692"/>
      <c r="F39" s="692"/>
      <c r="G39" s="692"/>
      <c r="H39" s="692"/>
      <c r="I39" s="692"/>
      <c r="J39" s="692"/>
      <c r="K39" s="692"/>
      <c r="L39" s="692"/>
      <c r="M39" s="692"/>
      <c r="N39" s="692"/>
      <c r="O39" s="692"/>
      <c r="P39" s="692"/>
      <c r="Q39" s="692"/>
      <c r="R39" s="692"/>
      <c r="S39" s="255"/>
      <c r="T39" s="255"/>
      <c r="U39" s="255"/>
      <c r="V39" s="692" t="s">
        <v>225</v>
      </c>
      <c r="W39" s="692"/>
      <c r="X39" s="692"/>
      <c r="Y39" s="692"/>
      <c r="Z39" s="692"/>
      <c r="AA39" s="692"/>
      <c r="AB39" s="692"/>
      <c r="AC39" s="692"/>
      <c r="AD39" s="692"/>
      <c r="AE39" s="692"/>
      <c r="AF39" s="692"/>
      <c r="AG39" s="692"/>
      <c r="AH39" s="692"/>
      <c r="AI39" s="692"/>
      <c r="AJ39" s="259"/>
    </row>
    <row r="40" spans="2:36" s="264" customFormat="1" ht="15" customHeight="1" x14ac:dyDescent="0.45">
      <c r="B40" s="261"/>
      <c r="C40" s="255"/>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C40" s="255"/>
      <c r="AD40" s="255"/>
      <c r="AE40" s="255"/>
      <c r="AF40" s="255"/>
      <c r="AG40" s="255"/>
      <c r="AH40" s="255"/>
      <c r="AI40" s="255"/>
      <c r="AJ40" s="259"/>
    </row>
    <row r="41" spans="2:36" s="264" customFormat="1" ht="15" customHeight="1" x14ac:dyDescent="0.45">
      <c r="B41" s="261"/>
      <c r="C41" s="255"/>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c r="AD41" s="255"/>
      <c r="AE41" s="255"/>
      <c r="AF41" s="255"/>
      <c r="AG41" s="255"/>
      <c r="AH41" s="255"/>
      <c r="AI41" s="255"/>
      <c r="AJ41" s="259"/>
    </row>
    <row r="42" spans="2:36" s="264" customFormat="1" ht="15" customHeight="1" thickBot="1" x14ac:dyDescent="0.5">
      <c r="B42" s="261"/>
      <c r="C42" s="255"/>
      <c r="D42" s="707" t="str">
        <f>UPPER(Input!C17)</f>
        <v>REBECCA R. ATEGA</v>
      </c>
      <c r="E42" s="707"/>
      <c r="F42" s="707"/>
      <c r="G42" s="707"/>
      <c r="H42" s="707"/>
      <c r="I42" s="707"/>
      <c r="J42" s="707"/>
      <c r="K42" s="707"/>
      <c r="L42" s="707"/>
      <c r="M42" s="707"/>
      <c r="N42" s="707"/>
      <c r="O42" s="255"/>
      <c r="P42" s="255"/>
      <c r="Q42" s="255"/>
      <c r="R42" s="255"/>
      <c r="S42" s="255"/>
      <c r="T42" s="255"/>
      <c r="U42" s="255"/>
      <c r="V42" s="707" t="str">
        <f>UPPER(Input!C20)</f>
        <v>ENGR. RICARDO M. OÑATE JR.</v>
      </c>
      <c r="W42" s="707"/>
      <c r="X42" s="707"/>
      <c r="Y42" s="707"/>
      <c r="Z42" s="707"/>
      <c r="AA42" s="707"/>
      <c r="AB42" s="707"/>
      <c r="AC42" s="707"/>
      <c r="AD42" s="707"/>
      <c r="AE42" s="707"/>
      <c r="AF42" s="707"/>
      <c r="AG42" s="707"/>
      <c r="AH42" s="707"/>
      <c r="AI42" s="707"/>
      <c r="AJ42" s="259"/>
    </row>
    <row r="43" spans="2:36" s="264" customFormat="1" ht="15" customHeight="1" x14ac:dyDescent="0.45">
      <c r="B43" s="261"/>
      <c r="C43" s="256"/>
      <c r="D43" s="704" t="s">
        <v>106</v>
      </c>
      <c r="E43" s="704"/>
      <c r="F43" s="704"/>
      <c r="G43" s="704"/>
      <c r="H43" s="704"/>
      <c r="I43" s="704"/>
      <c r="J43" s="704"/>
      <c r="K43" s="704"/>
      <c r="L43" s="704"/>
      <c r="M43" s="704"/>
      <c r="N43" s="704"/>
      <c r="O43" s="255"/>
      <c r="P43" s="255"/>
      <c r="Q43" s="255"/>
      <c r="R43" s="255"/>
      <c r="S43" s="255"/>
      <c r="T43" s="255"/>
      <c r="U43" s="255"/>
      <c r="V43" s="704" t="s">
        <v>226</v>
      </c>
      <c r="W43" s="704"/>
      <c r="X43" s="704"/>
      <c r="Y43" s="704"/>
      <c r="Z43" s="704"/>
      <c r="AA43" s="704"/>
      <c r="AB43" s="704"/>
      <c r="AC43" s="704"/>
      <c r="AD43" s="704"/>
      <c r="AE43" s="704"/>
      <c r="AF43" s="704"/>
      <c r="AG43" s="704"/>
      <c r="AH43" s="704"/>
      <c r="AI43" s="704"/>
      <c r="AJ43" s="259"/>
    </row>
    <row r="44" spans="2:36" s="264" customFormat="1" ht="15" customHeight="1" thickBot="1" x14ac:dyDescent="0.5">
      <c r="B44" s="261"/>
      <c r="C44" s="255"/>
      <c r="D44" s="260"/>
      <c r="E44" s="260"/>
      <c r="F44" s="260"/>
      <c r="G44" s="260"/>
      <c r="H44" s="260"/>
      <c r="I44" s="260"/>
      <c r="J44" s="260"/>
      <c r="K44" s="260"/>
      <c r="L44" s="260"/>
      <c r="M44" s="260"/>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9"/>
    </row>
    <row r="45" spans="2:36" s="264" customFormat="1" ht="15" customHeight="1" thickBot="1" x14ac:dyDescent="0.5">
      <c r="B45" s="705" t="s">
        <v>8</v>
      </c>
      <c r="C45" s="705"/>
      <c r="D45" s="705"/>
      <c r="E45" s="705"/>
      <c r="F45" s="705"/>
      <c r="G45" s="705"/>
      <c r="H45" s="705" t="s">
        <v>227</v>
      </c>
      <c r="I45" s="705"/>
      <c r="J45" s="705"/>
      <c r="K45" s="705"/>
      <c r="L45" s="705"/>
      <c r="M45" s="705"/>
      <c r="N45" s="705"/>
      <c r="O45" s="705"/>
      <c r="P45" s="705"/>
      <c r="Q45" s="705"/>
      <c r="R45" s="705"/>
      <c r="S45" s="705"/>
      <c r="T45" s="705"/>
      <c r="U45" s="705"/>
      <c r="V45" s="705"/>
      <c r="W45" s="705"/>
      <c r="X45" s="705"/>
      <c r="Y45" s="705"/>
      <c r="Z45" s="257"/>
      <c r="AA45" s="705" t="s">
        <v>228</v>
      </c>
      <c r="AB45" s="705"/>
      <c r="AC45" s="705"/>
      <c r="AD45" s="705"/>
      <c r="AE45" s="705"/>
      <c r="AF45" s="705"/>
      <c r="AG45" s="705"/>
      <c r="AH45" s="705"/>
      <c r="AI45" s="705"/>
      <c r="AJ45" s="705"/>
    </row>
    <row r="46" spans="2:36" s="264" customFormat="1" ht="15" customHeight="1" thickBot="1" x14ac:dyDescent="0.5">
      <c r="B46" s="701"/>
      <c r="C46" s="702"/>
      <c r="D46" s="702"/>
      <c r="E46" s="702"/>
      <c r="F46" s="702"/>
      <c r="G46" s="703"/>
      <c r="H46" s="699"/>
      <c r="I46" s="690"/>
      <c r="J46" s="690"/>
      <c r="K46" s="690"/>
      <c r="L46" s="690"/>
      <c r="M46" s="690"/>
      <c r="N46" s="690"/>
      <c r="O46" s="690"/>
      <c r="P46" s="690"/>
      <c r="Q46" s="690"/>
      <c r="R46" s="690"/>
      <c r="S46" s="690"/>
      <c r="T46" s="690"/>
      <c r="U46" s="690"/>
      <c r="V46" s="690"/>
      <c r="W46" s="690"/>
      <c r="X46" s="690"/>
      <c r="Y46" s="700"/>
      <c r="Z46" s="255"/>
      <c r="AA46" s="699"/>
      <c r="AB46" s="690"/>
      <c r="AC46" s="690"/>
      <c r="AD46" s="690"/>
      <c r="AE46" s="690"/>
      <c r="AF46" s="690"/>
      <c r="AG46" s="690"/>
      <c r="AH46" s="690"/>
      <c r="AI46" s="690"/>
      <c r="AJ46" s="700"/>
    </row>
    <row r="47" spans="2:36" s="264" customFormat="1" ht="15" customHeight="1" thickBot="1" x14ac:dyDescent="0.5">
      <c r="B47" s="701"/>
      <c r="C47" s="702"/>
      <c r="D47" s="702"/>
      <c r="E47" s="702"/>
      <c r="F47" s="702"/>
      <c r="G47" s="703"/>
      <c r="H47" s="699"/>
      <c r="I47" s="690"/>
      <c r="J47" s="690"/>
      <c r="K47" s="690"/>
      <c r="L47" s="690"/>
      <c r="M47" s="690"/>
      <c r="N47" s="690"/>
      <c r="O47" s="690"/>
      <c r="P47" s="690"/>
      <c r="Q47" s="690"/>
      <c r="R47" s="690"/>
      <c r="S47" s="690"/>
      <c r="T47" s="690"/>
      <c r="U47" s="690"/>
      <c r="V47" s="690"/>
      <c r="W47" s="690"/>
      <c r="X47" s="690"/>
      <c r="Y47" s="700"/>
      <c r="Z47" s="255"/>
      <c r="AA47" s="699"/>
      <c r="AB47" s="690"/>
      <c r="AC47" s="690"/>
      <c r="AD47" s="690"/>
      <c r="AE47" s="690"/>
      <c r="AF47" s="690"/>
      <c r="AG47" s="690"/>
      <c r="AH47" s="690"/>
      <c r="AI47" s="690"/>
      <c r="AJ47" s="700"/>
    </row>
    <row r="48" spans="2:36" s="264" customFormat="1" ht="15" customHeight="1" thickBot="1" x14ac:dyDescent="0.5">
      <c r="B48" s="701"/>
      <c r="C48" s="702"/>
      <c r="D48" s="702"/>
      <c r="E48" s="702"/>
      <c r="F48" s="702"/>
      <c r="G48" s="703"/>
      <c r="H48" s="699"/>
      <c r="I48" s="690"/>
      <c r="J48" s="690"/>
      <c r="K48" s="690"/>
      <c r="L48" s="690"/>
      <c r="M48" s="690"/>
      <c r="N48" s="690"/>
      <c r="O48" s="690"/>
      <c r="P48" s="690"/>
      <c r="Q48" s="690"/>
      <c r="R48" s="690"/>
      <c r="S48" s="690"/>
      <c r="T48" s="690"/>
      <c r="U48" s="690"/>
      <c r="V48" s="690"/>
      <c r="W48" s="690"/>
      <c r="X48" s="690"/>
      <c r="Y48" s="700"/>
      <c r="Z48" s="255"/>
      <c r="AA48" s="699"/>
      <c r="AB48" s="690"/>
      <c r="AC48" s="690"/>
      <c r="AD48" s="690"/>
      <c r="AE48" s="690"/>
      <c r="AF48" s="690"/>
      <c r="AG48" s="690"/>
      <c r="AH48" s="690"/>
      <c r="AI48" s="690"/>
      <c r="AJ48" s="700"/>
    </row>
    <row r="49" spans="2:36" s="264" customFormat="1" ht="15" customHeight="1" thickBot="1" x14ac:dyDescent="0.5">
      <c r="B49" s="701"/>
      <c r="C49" s="702"/>
      <c r="D49" s="702"/>
      <c r="E49" s="702"/>
      <c r="F49" s="702"/>
      <c r="G49" s="703"/>
      <c r="H49" s="699"/>
      <c r="I49" s="690"/>
      <c r="J49" s="690"/>
      <c r="K49" s="690"/>
      <c r="L49" s="690"/>
      <c r="M49" s="690"/>
      <c r="N49" s="690"/>
      <c r="O49" s="690"/>
      <c r="P49" s="690"/>
      <c r="Q49" s="690"/>
      <c r="R49" s="690"/>
      <c r="S49" s="690"/>
      <c r="T49" s="690"/>
      <c r="U49" s="690"/>
      <c r="V49" s="690"/>
      <c r="W49" s="690"/>
      <c r="X49" s="690"/>
      <c r="Y49" s="700"/>
      <c r="Z49" s="255"/>
      <c r="AA49" s="699"/>
      <c r="AB49" s="690"/>
      <c r="AC49" s="690"/>
      <c r="AD49" s="690"/>
      <c r="AE49" s="690"/>
      <c r="AF49" s="690"/>
      <c r="AG49" s="690"/>
      <c r="AH49" s="690"/>
      <c r="AI49" s="690"/>
      <c r="AJ49" s="700"/>
    </row>
    <row r="50" spans="2:36" s="264" customFormat="1" ht="15" customHeight="1" thickBot="1" x14ac:dyDescent="0.5">
      <c r="B50" s="701"/>
      <c r="C50" s="702"/>
      <c r="D50" s="702"/>
      <c r="E50" s="702"/>
      <c r="F50" s="702"/>
      <c r="G50" s="703"/>
      <c r="H50" s="699"/>
      <c r="I50" s="690"/>
      <c r="J50" s="690"/>
      <c r="K50" s="690"/>
      <c r="L50" s="690"/>
      <c r="M50" s="690"/>
      <c r="N50" s="690"/>
      <c r="O50" s="690"/>
      <c r="P50" s="690"/>
      <c r="Q50" s="690"/>
      <c r="R50" s="690"/>
      <c r="S50" s="690"/>
      <c r="T50" s="690"/>
      <c r="U50" s="690"/>
      <c r="V50" s="690"/>
      <c r="W50" s="690"/>
      <c r="X50" s="690"/>
      <c r="Y50" s="700"/>
      <c r="Z50" s="255"/>
      <c r="AA50" s="699"/>
      <c r="AB50" s="690"/>
      <c r="AC50" s="690"/>
      <c r="AD50" s="690"/>
      <c r="AE50" s="690"/>
      <c r="AF50" s="690"/>
      <c r="AG50" s="690"/>
      <c r="AH50" s="690"/>
      <c r="AI50" s="690"/>
      <c r="AJ50" s="700"/>
    </row>
    <row r="51" spans="2:36" s="264" customFormat="1" ht="15" customHeight="1" thickBot="1" x14ac:dyDescent="0.5">
      <c r="B51" s="701"/>
      <c r="C51" s="702"/>
      <c r="D51" s="702"/>
      <c r="E51" s="702"/>
      <c r="F51" s="702"/>
      <c r="G51" s="703"/>
      <c r="H51" s="699"/>
      <c r="I51" s="690"/>
      <c r="J51" s="690"/>
      <c r="K51" s="690"/>
      <c r="L51" s="690"/>
      <c r="M51" s="690"/>
      <c r="N51" s="690"/>
      <c r="O51" s="690"/>
      <c r="P51" s="690"/>
      <c r="Q51" s="690"/>
      <c r="R51" s="690"/>
      <c r="S51" s="690"/>
      <c r="T51" s="690"/>
      <c r="U51" s="690"/>
      <c r="V51" s="690"/>
      <c r="W51" s="690"/>
      <c r="X51" s="690"/>
      <c r="Y51" s="700"/>
      <c r="Z51" s="255"/>
      <c r="AA51" s="699"/>
      <c r="AB51" s="690"/>
      <c r="AC51" s="690"/>
      <c r="AD51" s="690"/>
      <c r="AE51" s="690"/>
      <c r="AF51" s="690"/>
      <c r="AG51" s="690"/>
      <c r="AH51" s="690"/>
      <c r="AI51" s="690"/>
      <c r="AJ51" s="700"/>
    </row>
    <row r="52" spans="2:36" s="264" customFormat="1" ht="15" customHeight="1" thickBot="1" x14ac:dyDescent="0.5">
      <c r="B52" s="701"/>
      <c r="C52" s="702"/>
      <c r="D52" s="702"/>
      <c r="E52" s="702"/>
      <c r="F52" s="702"/>
      <c r="G52" s="703"/>
      <c r="H52" s="699"/>
      <c r="I52" s="690"/>
      <c r="J52" s="690"/>
      <c r="K52" s="690"/>
      <c r="L52" s="690"/>
      <c r="M52" s="690"/>
      <c r="N52" s="690"/>
      <c r="O52" s="690"/>
      <c r="P52" s="690"/>
      <c r="Q52" s="690"/>
      <c r="R52" s="690"/>
      <c r="S52" s="690"/>
      <c r="T52" s="690"/>
      <c r="U52" s="690"/>
      <c r="V52" s="690"/>
      <c r="W52" s="690"/>
      <c r="X52" s="690"/>
      <c r="Y52" s="700"/>
      <c r="Z52" s="255"/>
      <c r="AA52" s="699"/>
      <c r="AB52" s="690"/>
      <c r="AC52" s="690"/>
      <c r="AD52" s="690"/>
      <c r="AE52" s="690"/>
      <c r="AF52" s="690"/>
      <c r="AG52" s="690"/>
      <c r="AH52" s="690"/>
      <c r="AI52" s="690"/>
      <c r="AJ52" s="700"/>
    </row>
    <row r="53" spans="2:36" s="264" customFormat="1" ht="15" customHeight="1" thickBot="1" x14ac:dyDescent="0.5">
      <c r="B53" s="701"/>
      <c r="C53" s="702"/>
      <c r="D53" s="702"/>
      <c r="E53" s="702"/>
      <c r="F53" s="702"/>
      <c r="G53" s="703"/>
      <c r="H53" s="699"/>
      <c r="I53" s="690"/>
      <c r="J53" s="690"/>
      <c r="K53" s="690"/>
      <c r="L53" s="690"/>
      <c r="M53" s="690"/>
      <c r="N53" s="690"/>
      <c r="O53" s="690"/>
      <c r="P53" s="690"/>
      <c r="Q53" s="690"/>
      <c r="R53" s="690"/>
      <c r="S53" s="690"/>
      <c r="T53" s="690"/>
      <c r="U53" s="690"/>
      <c r="V53" s="690"/>
      <c r="W53" s="690"/>
      <c r="X53" s="690"/>
      <c r="Y53" s="700"/>
      <c r="Z53" s="255"/>
      <c r="AA53" s="699"/>
      <c r="AB53" s="690"/>
      <c r="AC53" s="690"/>
      <c r="AD53" s="690"/>
      <c r="AE53" s="690"/>
      <c r="AF53" s="690"/>
      <c r="AG53" s="690"/>
      <c r="AH53" s="690"/>
      <c r="AI53" s="690"/>
      <c r="AJ53" s="700"/>
    </row>
    <row r="54" spans="2:36" s="264" customFormat="1" ht="15" customHeight="1" thickBot="1" x14ac:dyDescent="0.5">
      <c r="B54" s="701"/>
      <c r="C54" s="702"/>
      <c r="D54" s="702"/>
      <c r="E54" s="702"/>
      <c r="F54" s="702"/>
      <c r="G54" s="703"/>
      <c r="H54" s="699"/>
      <c r="I54" s="690"/>
      <c r="J54" s="690"/>
      <c r="K54" s="690"/>
      <c r="L54" s="690"/>
      <c r="M54" s="690"/>
      <c r="N54" s="690"/>
      <c r="O54" s="690"/>
      <c r="P54" s="690"/>
      <c r="Q54" s="690"/>
      <c r="R54" s="690"/>
      <c r="S54" s="690"/>
      <c r="T54" s="690"/>
      <c r="U54" s="690"/>
      <c r="V54" s="690"/>
      <c r="W54" s="690"/>
      <c r="X54" s="690"/>
      <c r="Y54" s="700"/>
      <c r="Z54" s="255"/>
      <c r="AA54" s="699"/>
      <c r="AB54" s="690"/>
      <c r="AC54" s="690"/>
      <c r="AD54" s="690"/>
      <c r="AE54" s="690"/>
      <c r="AF54" s="690"/>
      <c r="AG54" s="690"/>
      <c r="AH54" s="690"/>
      <c r="AI54" s="690"/>
      <c r="AJ54" s="700"/>
    </row>
    <row r="55" spans="2:36" s="264" customFormat="1" ht="15" customHeight="1" thickBot="1" x14ac:dyDescent="0.5">
      <c r="B55" s="701"/>
      <c r="C55" s="702"/>
      <c r="D55" s="702"/>
      <c r="E55" s="702"/>
      <c r="F55" s="702"/>
      <c r="G55" s="703"/>
      <c r="H55" s="699"/>
      <c r="I55" s="690"/>
      <c r="J55" s="690"/>
      <c r="K55" s="690"/>
      <c r="L55" s="690"/>
      <c r="M55" s="690"/>
      <c r="N55" s="690"/>
      <c r="O55" s="690"/>
      <c r="P55" s="690"/>
      <c r="Q55" s="690"/>
      <c r="R55" s="690"/>
      <c r="S55" s="690"/>
      <c r="T55" s="690"/>
      <c r="U55" s="690"/>
      <c r="V55" s="690"/>
      <c r="W55" s="690"/>
      <c r="X55" s="690"/>
      <c r="Y55" s="700"/>
      <c r="Z55" s="268"/>
      <c r="AA55" s="699"/>
      <c r="AB55" s="690"/>
      <c r="AC55" s="690"/>
      <c r="AD55" s="690"/>
      <c r="AE55" s="690"/>
      <c r="AF55" s="690"/>
      <c r="AG55" s="690"/>
      <c r="AH55" s="690"/>
      <c r="AI55" s="690"/>
      <c r="AJ55" s="700"/>
    </row>
    <row r="56" spans="2:36" ht="12.75" customHeight="1" x14ac:dyDescent="0.35"/>
    <row r="57" spans="2:36" ht="12.75" customHeight="1" x14ac:dyDescent="0.35"/>
    <row r="58" spans="2:36" ht="12.75" customHeight="1" x14ac:dyDescent="0.35"/>
    <row r="59" spans="2:36" ht="12.75" customHeight="1" x14ac:dyDescent="0.35"/>
    <row r="60" spans="2:36" ht="12.75" customHeight="1" x14ac:dyDescent="0.35"/>
    <row r="61" spans="2:36" ht="12.75" customHeight="1" x14ac:dyDescent="0.35"/>
    <row r="62" spans="2:36" ht="12.75" customHeight="1" x14ac:dyDescent="0.35"/>
    <row r="63" spans="2:36" ht="12.75" customHeight="1" x14ac:dyDescent="0.35"/>
    <row r="64" spans="2:36"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sheetData>
  <mergeCells count="84">
    <mergeCell ref="AA52:AJ52"/>
    <mergeCell ref="AA53:AJ53"/>
    <mergeCell ref="AA54:AJ54"/>
    <mergeCell ref="AA55:AJ55"/>
    <mergeCell ref="U35:AI35"/>
    <mergeCell ref="H53:Y53"/>
    <mergeCell ref="H54:Y54"/>
    <mergeCell ref="H55:Y55"/>
    <mergeCell ref="C39:R39"/>
    <mergeCell ref="V39:AI39"/>
    <mergeCell ref="D42:N42"/>
    <mergeCell ref="V42:AI42"/>
    <mergeCell ref="B52:G52"/>
    <mergeCell ref="B53:G53"/>
    <mergeCell ref="B54:G54"/>
    <mergeCell ref="B55:G55"/>
    <mergeCell ref="AB16:AI16"/>
    <mergeCell ref="AB17:AI17"/>
    <mergeCell ref="Y16:AA16"/>
    <mergeCell ref="Y17:AA17"/>
    <mergeCell ref="H52:Y52"/>
    <mergeCell ref="AA46:AJ46"/>
    <mergeCell ref="AA47:AJ47"/>
    <mergeCell ref="AA48:AJ48"/>
    <mergeCell ref="AA49:AJ49"/>
    <mergeCell ref="AA50:AJ50"/>
    <mergeCell ref="AA51:AJ51"/>
    <mergeCell ref="D43:N43"/>
    <mergeCell ref="V43:AI43"/>
    <mergeCell ref="B45:G45"/>
    <mergeCell ref="H45:Y45"/>
    <mergeCell ref="AA45:AJ45"/>
    <mergeCell ref="H51:Y51"/>
    <mergeCell ref="B46:G46"/>
    <mergeCell ref="B47:G47"/>
    <mergeCell ref="B48:G48"/>
    <mergeCell ref="B49:G49"/>
    <mergeCell ref="B50:G50"/>
    <mergeCell ref="B51:G51"/>
    <mergeCell ref="H46:Y46"/>
    <mergeCell ref="H47:Y47"/>
    <mergeCell ref="H48:Y48"/>
    <mergeCell ref="H49:Y49"/>
    <mergeCell ref="H50:Y50"/>
    <mergeCell ref="K34:AI34"/>
    <mergeCell ref="C35:T35"/>
    <mergeCell ref="C37:N37"/>
    <mergeCell ref="O37:AI37"/>
    <mergeCell ref="C31:J31"/>
    <mergeCell ref="K31:AI31"/>
    <mergeCell ref="L32:AI32"/>
    <mergeCell ref="C33:M33"/>
    <mergeCell ref="N33:AI33"/>
    <mergeCell ref="C29:J29"/>
    <mergeCell ref="K29:AI29"/>
    <mergeCell ref="H21:AI21"/>
    <mergeCell ref="C22:I22"/>
    <mergeCell ref="J22:P22"/>
    <mergeCell ref="R22:W22"/>
    <mergeCell ref="X22:AI22"/>
    <mergeCell ref="K23:AI23"/>
    <mergeCell ref="C24:I24"/>
    <mergeCell ref="J24:AI24"/>
    <mergeCell ref="C26:M26"/>
    <mergeCell ref="N26:AI26"/>
    <mergeCell ref="C27:AI27"/>
    <mergeCell ref="C19:F19"/>
    <mergeCell ref="G19:P19"/>
    <mergeCell ref="R19:W19"/>
    <mergeCell ref="X19:AI19"/>
    <mergeCell ref="C20:F20"/>
    <mergeCell ref="R20:W20"/>
    <mergeCell ref="X20:AI20"/>
    <mergeCell ref="G20:P20"/>
    <mergeCell ref="B8:AJ8"/>
    <mergeCell ref="B9:AJ9"/>
    <mergeCell ref="B10:AJ10"/>
    <mergeCell ref="B11:AJ15"/>
    <mergeCell ref="B2:AJ2"/>
    <mergeCell ref="B3:AJ3"/>
    <mergeCell ref="B4:AJ4"/>
    <mergeCell ref="B5:AJ5"/>
    <mergeCell ref="B6:AJ6"/>
    <mergeCell ref="B7:AJ7"/>
  </mergeCells>
  <pageMargins left="1" right="1" top="1" bottom="1" header="0.42" footer="0.16"/>
  <pageSetup paperSize="9" scale="8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Input</vt:lpstr>
      <vt:lpstr>ORS</vt:lpstr>
      <vt:lpstr>DV </vt:lpstr>
      <vt:lpstr>IT-09-P01</vt:lpstr>
      <vt:lpstr>CTC</vt:lpstr>
      <vt:lpstr>COENRR</vt:lpstr>
      <vt:lpstr>PTR Checklist</vt:lpstr>
      <vt:lpstr>Travel Order</vt:lpstr>
      <vt:lpstr>COENRR!Print_Area</vt:lpstr>
      <vt:lpstr>CTC!Print_Area</vt:lpstr>
      <vt:lpstr>'DV '!Print_Area</vt:lpstr>
      <vt:lpstr>'IT-09-P01'!Print_Area</vt:lpstr>
      <vt:lpstr>ORS!Print_Area</vt:lpstr>
      <vt:lpstr>'PTR Checklist'!Print_Area</vt:lpstr>
      <vt:lpstr>'Travel Order'!Print_Area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James Rosales</cp:lastModifiedBy>
  <cp:revision/>
  <cp:lastPrinted>2026-10-03T14:09:00Z</cp:lastPrinted>
  <dcterms:created xsi:type="dcterms:W3CDTF">2023-03-14T00:29:59Z</dcterms:created>
  <dcterms:modified xsi:type="dcterms:W3CDTF">2026-10-03T14:09:02Z</dcterms:modified>
  <cp:category/>
  <cp:contentStatus/>
</cp:coreProperties>
</file>